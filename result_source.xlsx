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-I result with all data" sheetId="1" r:id="rId5"/>
  </sheets>
  <definedNames/>
  <calcPr/>
</workbook>
</file>

<file path=xl/sharedStrings.xml><?xml version="1.0" encoding="utf-8"?>
<sst xmlns="http://schemas.openxmlformats.org/spreadsheetml/2006/main" count="557" uniqueCount="147">
  <si>
    <t>Khwaja Yunus Ali Medical College</t>
  </si>
  <si>
    <t>Department of Forensic Medicine &amp; Toxicology</t>
  </si>
  <si>
    <t xml:space="preserve">          1st Term(Regular) Exam Result Sheet of KYA-20 Batch</t>
  </si>
  <si>
    <t>Date:17.06.2026</t>
  </si>
  <si>
    <t>Written</t>
  </si>
  <si>
    <t>Oral(100)</t>
  </si>
  <si>
    <t>Practical</t>
  </si>
  <si>
    <t>Total marks(300)</t>
  </si>
  <si>
    <t>Result</t>
  </si>
  <si>
    <t xml:space="preserve">Roll </t>
  </si>
  <si>
    <t>Name of the Students</t>
  </si>
  <si>
    <t>MCQ+SBA</t>
  </si>
  <si>
    <t>G-A</t>
  </si>
  <si>
    <t>G-B</t>
  </si>
  <si>
    <t>G-C</t>
  </si>
  <si>
    <t>G-D</t>
  </si>
  <si>
    <t>F-A</t>
  </si>
  <si>
    <t>(SAQ+MCQ+SBA+FA=100)</t>
  </si>
  <si>
    <t>(OSPE+GT+IT+Khata=100)</t>
  </si>
  <si>
    <t>Most. Jannatul Ferdous Mania</t>
  </si>
  <si>
    <t>NE</t>
  </si>
  <si>
    <t>Md. Obaidullah</t>
  </si>
  <si>
    <t>Tasnim Sumayia</t>
  </si>
  <si>
    <t>Mithila Samanta</t>
  </si>
  <si>
    <t>Marufa Hossain Jotty</t>
  </si>
  <si>
    <t>Md. Shahariar Ahmmed</t>
  </si>
  <si>
    <t>Rukaiya Sultana</t>
  </si>
  <si>
    <t>Mahzabin Hossain Mrittika</t>
  </si>
  <si>
    <t>Umar Tariq Niyazi</t>
  </si>
  <si>
    <t>Mahedi Hasan</t>
  </si>
  <si>
    <t>Adil Umer Farooq</t>
  </si>
  <si>
    <t>Mst. Afiya Abida</t>
  </si>
  <si>
    <t>Hanan Fayaz Hajam</t>
  </si>
  <si>
    <t>Israt Jahan Treha</t>
  </si>
  <si>
    <t>Zaid Bin Adfar</t>
  </si>
  <si>
    <t>Fa-Eza Afrin</t>
  </si>
  <si>
    <t>Sayed Talat Andrabi</t>
  </si>
  <si>
    <t>Sadid Sadman</t>
  </si>
  <si>
    <t>Mohammad Fahad Feroze Parray</t>
  </si>
  <si>
    <t>Md. Sabbir Hossain Sohag</t>
  </si>
  <si>
    <t>Hammad Aijaz Shad</t>
  </si>
  <si>
    <t>Md. Shahin Alom Samrat</t>
  </si>
  <si>
    <t>Mir Majid Murtaza</t>
  </si>
  <si>
    <t>Md. Arman Ferdous Rijon</t>
  </si>
  <si>
    <t>Soleh Mohammad Gowhar</t>
  </si>
  <si>
    <t>Most. Shirajum Monira</t>
  </si>
  <si>
    <t>Shaike Shahed</t>
  </si>
  <si>
    <t>Md. Tahsin Mahmud</t>
  </si>
  <si>
    <t>Md. Ariful Islam Saimum</t>
  </si>
  <si>
    <t>Milka Karmokar</t>
  </si>
  <si>
    <t>Aleena Naz</t>
  </si>
  <si>
    <t>Md. Atik Arman</t>
  </si>
  <si>
    <t>Mohammad Haziq</t>
  </si>
  <si>
    <t>Md. Sakibur Rahman Jisan</t>
  </si>
  <si>
    <t>Mishkat Mehvish</t>
  </si>
  <si>
    <t>Md. Rubel Pramanik</t>
  </si>
  <si>
    <t>Hashir Yaseen</t>
  </si>
  <si>
    <t>Most. Sumaiya Mukta</t>
  </si>
  <si>
    <t>Haseeb Hussain</t>
  </si>
  <si>
    <t>Md. Mahmudul Hasan</t>
  </si>
  <si>
    <t>Aman Farooq</t>
  </si>
  <si>
    <t>Mst. Sanjida Aual Tuba</t>
  </si>
  <si>
    <t>Abdul Muizz Wani</t>
  </si>
  <si>
    <t>Saima Tabassum Medha</t>
  </si>
  <si>
    <t>Bilal Rafiq Khan</t>
  </si>
  <si>
    <t>Prianka Bhadra</t>
  </si>
  <si>
    <t>Suraiya Sultana</t>
  </si>
  <si>
    <t>Urfa Hossain Aditi</t>
  </si>
  <si>
    <t>Vardhan Amol Shekokar</t>
  </si>
  <si>
    <t>Md Aminul Islam Naim</t>
  </si>
  <si>
    <t>Nazia Afrin Bushra</t>
  </si>
  <si>
    <t>Arko Das</t>
  </si>
  <si>
    <t>Faheem Ul Islam Bhat</t>
  </si>
  <si>
    <t>Rajibul Bashar Murad</t>
  </si>
  <si>
    <t>Shaikh Zoya Ishaq</t>
  </si>
  <si>
    <t>Dhrubo Das</t>
  </si>
  <si>
    <t>A</t>
  </si>
  <si>
    <t>Sobia Mahak Abrar Ahmed Hashmi</t>
  </si>
  <si>
    <t>Sarjil Mohtasim Shamyo</t>
  </si>
  <si>
    <t>Anseef Majeed Kuthoo</t>
  </si>
  <si>
    <t>Maria Zaman</t>
  </si>
  <si>
    <t>Deshmukh Pooja</t>
  </si>
  <si>
    <t>Israt Jahan Setu</t>
  </si>
  <si>
    <t>Neesan E Madina</t>
  </si>
  <si>
    <t>Habiba Sultana Prity</t>
  </si>
  <si>
    <t>Momin Mohamd. Zaid Mohamd.Mudassir</t>
  </si>
  <si>
    <t>Mubharshir Faisal</t>
  </si>
  <si>
    <t>Ansari Masira Mohammad Ilyas</t>
  </si>
  <si>
    <t>Noushin Ulfat</t>
  </si>
  <si>
    <t>Shaikh Alfiya Kausar Sadique</t>
  </si>
  <si>
    <t>Sumaiya Jannat Asha</t>
  </si>
  <si>
    <t>Shaikh Muzif Samiyoddin</t>
  </si>
  <si>
    <t>Yousha Been Jahangir</t>
  </si>
  <si>
    <t>Adiyan Ahad Wani</t>
  </si>
  <si>
    <t>Iftekhar Mahmud</t>
  </si>
  <si>
    <t>Ariba Mariyam</t>
  </si>
  <si>
    <t>Sumiya Bhuiyan</t>
  </si>
  <si>
    <t>Umar Abdullah</t>
  </si>
  <si>
    <t>Nafis Rahman</t>
  </si>
  <si>
    <t>Aflah Mushtaq</t>
  </si>
  <si>
    <t>Md. Abdullah Al Fardeen</t>
  </si>
  <si>
    <t>Sabaqat Riyaz</t>
  </si>
  <si>
    <t>Mst. Maisha Rana Era</t>
  </si>
  <si>
    <t>Safnan Rehman</t>
  </si>
  <si>
    <t>Md. Morsalin Hosen</t>
  </si>
  <si>
    <t>Mutahar Bashir</t>
  </si>
  <si>
    <t>Sumitra Basu Sumit</t>
  </si>
  <si>
    <t>Zehwa Qureshi</t>
  </si>
  <si>
    <t>Gourab Kumar Kundu Aurgha</t>
  </si>
  <si>
    <t>Md Masum Hoque</t>
  </si>
  <si>
    <t>Zerin Ikbal</t>
  </si>
  <si>
    <t>Mohammed Suffiyan Gehlot</t>
  </si>
  <si>
    <t>Soikat Pal</t>
  </si>
  <si>
    <t>Mohammed Arafat</t>
  </si>
  <si>
    <t>Most. Afia Anzum Rifa</t>
  </si>
  <si>
    <t>Arsalan Iqbal</t>
  </si>
  <si>
    <t>Md. Abdullah</t>
  </si>
  <si>
    <t>Shawana</t>
  </si>
  <si>
    <t>Suhail Ahmad Khan</t>
  </si>
  <si>
    <t>Affan Ashraf</t>
  </si>
  <si>
    <t>Md. Shaon Hasnat Pulak</t>
  </si>
  <si>
    <t>Mohammad Suhaib Dar</t>
  </si>
  <si>
    <t>Sanna Ashraf Sofi</t>
  </si>
  <si>
    <t>Rehana Ali</t>
  </si>
  <si>
    <t>Muhammad Shifan</t>
  </si>
  <si>
    <t>KYA-19</t>
  </si>
  <si>
    <t>Sajjad Islam</t>
  </si>
  <si>
    <t>KYA-18</t>
  </si>
  <si>
    <t>Shamima Nasrin</t>
  </si>
  <si>
    <t>Eligible:</t>
  </si>
  <si>
    <t>Total Students:</t>
  </si>
  <si>
    <t>Not Eligible:</t>
  </si>
  <si>
    <t xml:space="preserve">Passed: </t>
  </si>
  <si>
    <t>Present:</t>
  </si>
  <si>
    <t>Failed:</t>
  </si>
  <si>
    <t>Absent</t>
  </si>
  <si>
    <t>% of pass:</t>
  </si>
  <si>
    <t>Copy to:</t>
  </si>
  <si>
    <t>The Principal</t>
  </si>
  <si>
    <t>Vice Principal</t>
  </si>
  <si>
    <t>Phase II Coordinator</t>
  </si>
  <si>
    <t>Signature</t>
  </si>
  <si>
    <t xml:space="preserve">HOD of Pharmacology
</t>
  </si>
  <si>
    <t>Head of the Dept. of Forensic Medicine</t>
  </si>
  <si>
    <t xml:space="preserve">HOD of Microbiology &amp; Pathology
</t>
  </si>
  <si>
    <t>KYAMC.</t>
  </si>
  <si>
    <t>Notice board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</si>
</sst>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36.0"/>
      <color theme="1"/>
      <name val="Times New Roman"/>
    </font>
    <font/>
    <font>
      <b/>
      <sz val="24.0"/>
      <color theme="1"/>
      <name val="Times New Roman"/>
    </font>
    <font>
      <b/>
      <color theme="1"/>
      <name val="Times New Roman"/>
    </font>
    <font>
      <b/>
      <sz val="15.0"/>
      <color theme="1"/>
      <name val="Times New Roman"/>
    </font>
    <font>
      <b/>
      <sz val="15.0"/>
      <color rgb="FF000000"/>
      <name val="Times New Roman"/>
    </font>
    <font>
      <b/>
      <sz val="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0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center" readingOrder="0" vertical="center"/>
    </xf>
    <xf borderId="7" fillId="0" fontId="2" numFmtId="0" xfId="0" applyBorder="1" applyFont="1"/>
    <xf borderId="4" fillId="0" fontId="8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8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right" readingOrder="0" vertical="center"/>
    </xf>
    <xf borderId="4" fillId="0" fontId="10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right" readingOrder="0" vertical="center"/>
    </xf>
    <xf borderId="5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right" readingOrder="0" vertical="center"/>
    </xf>
    <xf borderId="4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right" readingOrder="0" vertical="center"/>
    </xf>
    <xf borderId="3" fillId="0" fontId="2" numFmtId="0" xfId="0" applyBorder="1" applyFont="1"/>
    <xf borderId="4" fillId="0" fontId="11" numFmtId="0" xfId="0" applyAlignment="1" applyBorder="1" applyFont="1">
      <alignment horizontal="left"/>
    </xf>
    <xf borderId="4" fillId="0" fontId="10" numFmtId="0" xfId="0" applyAlignment="1" applyBorder="1" applyFont="1">
      <alignment horizontal="right" readingOrder="0" vertical="center"/>
    </xf>
    <xf borderId="4" fillId="0" fontId="10" numFmtId="0" xfId="0" applyAlignment="1" applyBorder="1" applyFont="1">
      <alignment horizontal="left" readingOrder="0" vertical="center"/>
    </xf>
    <xf borderId="3" fillId="0" fontId="10" numFmtId="0" xfId="0" applyAlignment="1" applyBorder="1" applyFont="1">
      <alignment horizontal="right" readingOrder="0" vertical="center"/>
    </xf>
    <xf borderId="4" fillId="0" fontId="10" numFmtId="1" xfId="0" applyAlignment="1" applyBorder="1" applyFont="1" applyNumberFormat="1">
      <alignment horizontal="left" vertical="center"/>
    </xf>
    <xf borderId="4" fillId="0" fontId="11" numFmtId="0" xfId="0" applyBorder="1" applyFont="1"/>
    <xf borderId="4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right" readingOrder="0" vertical="center"/>
    </xf>
    <xf borderId="9" fillId="0" fontId="11" numFmtId="0" xfId="0" applyAlignment="1" applyBorder="1" applyFont="1">
      <alignment readingOrder="0"/>
    </xf>
    <xf borderId="7" fillId="0" fontId="11" numFmtId="0" xfId="0" applyBorder="1" applyFont="1"/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horizontal="left" readingOrder="0" vertical="center"/>
    </xf>
    <xf borderId="4" fillId="0" fontId="11" numFmtId="0" xfId="0" applyBorder="1" applyFont="1"/>
    <xf borderId="0" fillId="0" fontId="13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63"/>
    <col customWidth="1" min="2" max="2" width="38.0"/>
    <col customWidth="1" min="3" max="3" width="15.13"/>
    <col customWidth="1" min="4" max="4" width="6.25"/>
    <col customWidth="1" min="5" max="5" width="6.38"/>
    <col customWidth="1" min="6" max="6" width="6.25"/>
    <col customWidth="1" min="7" max="7" width="6.13"/>
    <col customWidth="1" min="8" max="8" width="7.0"/>
    <col customWidth="1" min="9" max="9" width="18.38"/>
    <col customWidth="1" min="10" max="10" width="14.88"/>
    <col customWidth="1" min="11" max="11" width="16.75"/>
    <col customWidth="1" min="12" max="13" width="2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3"/>
      <c r="M3" s="6" t="s">
        <v>3</v>
      </c>
    </row>
    <row r="4">
      <c r="A4" s="7"/>
      <c r="B4" s="8"/>
      <c r="C4" s="7"/>
      <c r="D4" s="7"/>
      <c r="E4" s="7"/>
      <c r="F4" s="7"/>
      <c r="G4" s="7"/>
      <c r="H4" s="7"/>
      <c r="I4" s="9" t="s">
        <v>4</v>
      </c>
      <c r="J4" s="10" t="s">
        <v>5</v>
      </c>
      <c r="K4" s="9" t="s">
        <v>6</v>
      </c>
      <c r="L4" s="9" t="s">
        <v>7</v>
      </c>
      <c r="M4" s="9" t="s">
        <v>8</v>
      </c>
    </row>
    <row r="5">
      <c r="A5" s="7" t="s">
        <v>9</v>
      </c>
      <c r="B5" s="11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12" t="s">
        <v>17</v>
      </c>
      <c r="J5" s="13"/>
      <c r="K5" s="12" t="s">
        <v>18</v>
      </c>
    </row>
    <row r="6">
      <c r="A6" s="14">
        <v>101.0</v>
      </c>
      <c r="B6" s="15" t="s">
        <v>19</v>
      </c>
      <c r="C6" s="14" t="s">
        <v>20</v>
      </c>
      <c r="D6" s="14" t="s">
        <v>20</v>
      </c>
      <c r="E6" s="14" t="s">
        <v>20</v>
      </c>
      <c r="F6" s="14" t="s">
        <v>20</v>
      </c>
      <c r="G6" s="14" t="s">
        <v>20</v>
      </c>
      <c r="H6" s="14" t="s">
        <v>20</v>
      </c>
      <c r="I6" s="16" t="str">
        <f t="shared" ref="I6:I113" si="1">IF(COUNTIF(C6:H6, "NE")&gt;0, "NE", IF(COUNTIF(C6:H6, "A")&gt;0, "A", IF(COUNT(C6:H6)=0, "", SUM(C6:H6))))</f>
        <v>NE</v>
      </c>
      <c r="J6" s="17" t="s">
        <v>20</v>
      </c>
      <c r="K6" s="14" t="s">
        <v>20</v>
      </c>
      <c r="L6" s="14" t="str">
        <f t="shared" ref="L6:L113" si="2">IF(COUNTIF(I6:K6, "NE")&gt;0, "NE", IF(COUNTIF(C6:K6, "A")&gt;0, "A", IF(COUNT(I6:K6)=0, "", SUM(I6:K6))))</f>
        <v>NE</v>
      </c>
      <c r="M6" s="14" t="str">
        <f t="shared" ref="M6:M113" si="3">IF(COUNTA(I6:K6)&lt;3, "",
IF(COUNTIF(C6:L6,"A")&gt;0,
"Absent",
IF(COUNTIF(C6:L6,"NE")&gt;0,
"Not Eligible",
IF(COUNTIF(I6:K6,"&lt;60")&gt;0,
"Failed",
"Passed"))))</f>
        <v>Not Eligible</v>
      </c>
    </row>
    <row r="7">
      <c r="A7" s="14">
        <v>102.0</v>
      </c>
      <c r="B7" s="15" t="s">
        <v>21</v>
      </c>
      <c r="C7" s="14">
        <v>12.6</v>
      </c>
      <c r="D7" s="14">
        <v>6.5</v>
      </c>
      <c r="E7" s="14">
        <v>8.5</v>
      </c>
      <c r="F7" s="14">
        <v>12.5</v>
      </c>
      <c r="G7" s="14">
        <v>11.0</v>
      </c>
      <c r="H7" s="14">
        <v>6.0</v>
      </c>
      <c r="I7" s="16">
        <f t="shared" si="1"/>
        <v>57.1</v>
      </c>
      <c r="J7" s="14">
        <v>38.0</v>
      </c>
      <c r="K7" s="14">
        <v>64.0</v>
      </c>
      <c r="L7" s="14">
        <f t="shared" si="2"/>
        <v>159.1</v>
      </c>
      <c r="M7" s="14" t="str">
        <f t="shared" si="3"/>
        <v>Failed</v>
      </c>
    </row>
    <row r="8">
      <c r="A8" s="14">
        <v>103.0</v>
      </c>
      <c r="B8" s="15" t="s">
        <v>22</v>
      </c>
      <c r="C8" s="14">
        <v>15.8</v>
      </c>
      <c r="D8" s="14">
        <v>13.0</v>
      </c>
      <c r="E8" s="14">
        <v>13.5</v>
      </c>
      <c r="F8" s="14">
        <v>13.5</v>
      </c>
      <c r="G8" s="14">
        <v>13.0</v>
      </c>
      <c r="H8" s="14">
        <v>9.0</v>
      </c>
      <c r="I8" s="16">
        <f t="shared" si="1"/>
        <v>77.8</v>
      </c>
      <c r="J8" s="14">
        <v>66.0</v>
      </c>
      <c r="K8" s="14">
        <v>84.0</v>
      </c>
      <c r="L8" s="14">
        <f t="shared" si="2"/>
        <v>227.8</v>
      </c>
      <c r="M8" s="14" t="str">
        <f t="shared" si="3"/>
        <v>Passed</v>
      </c>
    </row>
    <row r="9">
      <c r="A9" s="14">
        <v>104.0</v>
      </c>
      <c r="B9" s="15" t="s">
        <v>23</v>
      </c>
      <c r="C9" s="14">
        <v>13.4</v>
      </c>
      <c r="D9" s="14">
        <v>11.0</v>
      </c>
      <c r="E9" s="14">
        <v>10.0</v>
      </c>
      <c r="F9" s="14">
        <v>12.5</v>
      </c>
      <c r="G9" s="14">
        <v>12.0</v>
      </c>
      <c r="H9" s="14">
        <v>8.0</v>
      </c>
      <c r="I9" s="16">
        <f t="shared" si="1"/>
        <v>66.9</v>
      </c>
      <c r="J9" s="14">
        <v>30.0</v>
      </c>
      <c r="K9" s="14">
        <v>78.0</v>
      </c>
      <c r="L9" s="14">
        <f t="shared" si="2"/>
        <v>174.9</v>
      </c>
      <c r="M9" s="14" t="str">
        <f t="shared" si="3"/>
        <v>Failed</v>
      </c>
    </row>
    <row r="10">
      <c r="A10" s="14">
        <v>105.0</v>
      </c>
      <c r="B10" s="15" t="s">
        <v>24</v>
      </c>
      <c r="C10" s="14" t="s">
        <v>20</v>
      </c>
      <c r="D10" s="14" t="s">
        <v>20</v>
      </c>
      <c r="E10" s="14" t="s">
        <v>20</v>
      </c>
      <c r="F10" s="14" t="s">
        <v>20</v>
      </c>
      <c r="G10" s="14" t="s">
        <v>20</v>
      </c>
      <c r="H10" s="14" t="s">
        <v>20</v>
      </c>
      <c r="I10" s="16" t="str">
        <f t="shared" si="1"/>
        <v>NE</v>
      </c>
      <c r="J10" s="14" t="s">
        <v>20</v>
      </c>
      <c r="K10" s="14" t="s">
        <v>20</v>
      </c>
      <c r="L10" s="14" t="str">
        <f t="shared" si="2"/>
        <v>NE</v>
      </c>
      <c r="M10" s="14" t="str">
        <f t="shared" si="3"/>
        <v>Not Eligible</v>
      </c>
    </row>
    <row r="11">
      <c r="A11" s="14">
        <v>106.0</v>
      </c>
      <c r="B11" s="15" t="s">
        <v>25</v>
      </c>
      <c r="C11" s="14" t="s">
        <v>20</v>
      </c>
      <c r="D11" s="14" t="s">
        <v>20</v>
      </c>
      <c r="E11" s="14" t="s">
        <v>20</v>
      </c>
      <c r="F11" s="14" t="s">
        <v>20</v>
      </c>
      <c r="G11" s="14" t="s">
        <v>20</v>
      </c>
      <c r="H11" s="14" t="s">
        <v>20</v>
      </c>
      <c r="I11" s="16" t="str">
        <f t="shared" si="1"/>
        <v>NE</v>
      </c>
      <c r="J11" s="14" t="s">
        <v>20</v>
      </c>
      <c r="K11" s="14" t="s">
        <v>20</v>
      </c>
      <c r="L11" s="14" t="str">
        <f t="shared" si="2"/>
        <v>NE</v>
      </c>
      <c r="M11" s="14" t="str">
        <f t="shared" si="3"/>
        <v>Not Eligible</v>
      </c>
    </row>
    <row r="12">
      <c r="A12" s="14">
        <v>107.0</v>
      </c>
      <c r="B12" s="15" t="s">
        <v>26</v>
      </c>
      <c r="C12" s="14">
        <v>15.4</v>
      </c>
      <c r="D12" s="14">
        <v>10.5</v>
      </c>
      <c r="E12" s="14">
        <v>10.5</v>
      </c>
      <c r="F12" s="14">
        <v>12.5</v>
      </c>
      <c r="G12" s="14">
        <v>13.0</v>
      </c>
      <c r="H12" s="14">
        <v>8.0</v>
      </c>
      <c r="I12" s="16">
        <f t="shared" si="1"/>
        <v>69.9</v>
      </c>
      <c r="J12" s="14">
        <v>72.0</v>
      </c>
      <c r="K12" s="14">
        <v>87.0</v>
      </c>
      <c r="L12" s="14">
        <f t="shared" si="2"/>
        <v>228.9</v>
      </c>
      <c r="M12" s="14" t="str">
        <f t="shared" si="3"/>
        <v>Passed</v>
      </c>
    </row>
    <row r="13">
      <c r="A13" s="14">
        <v>108.0</v>
      </c>
      <c r="B13" s="15" t="s">
        <v>27</v>
      </c>
      <c r="C13" s="14">
        <v>17.2</v>
      </c>
      <c r="D13" s="14">
        <v>12.0</v>
      </c>
      <c r="E13" s="14">
        <v>12.5</v>
      </c>
      <c r="F13" s="14">
        <v>9.5</v>
      </c>
      <c r="G13" s="14">
        <v>12.0</v>
      </c>
      <c r="H13" s="14">
        <v>8.0</v>
      </c>
      <c r="I13" s="16">
        <f t="shared" si="1"/>
        <v>71.2</v>
      </c>
      <c r="J13" s="14">
        <v>64.0</v>
      </c>
      <c r="K13" s="14">
        <v>86.0</v>
      </c>
      <c r="L13" s="14">
        <f t="shared" si="2"/>
        <v>221.2</v>
      </c>
      <c r="M13" s="14" t="str">
        <f t="shared" si="3"/>
        <v>Passed</v>
      </c>
    </row>
    <row r="14">
      <c r="A14" s="14">
        <v>109.0</v>
      </c>
      <c r="B14" s="15" t="s">
        <v>28</v>
      </c>
      <c r="C14" s="14" t="s">
        <v>20</v>
      </c>
      <c r="D14" s="14" t="s">
        <v>20</v>
      </c>
      <c r="E14" s="14" t="s">
        <v>20</v>
      </c>
      <c r="F14" s="14" t="s">
        <v>20</v>
      </c>
      <c r="G14" s="14" t="s">
        <v>20</v>
      </c>
      <c r="H14" s="14" t="s">
        <v>20</v>
      </c>
      <c r="I14" s="16" t="str">
        <f t="shared" si="1"/>
        <v>NE</v>
      </c>
      <c r="J14" s="14" t="s">
        <v>20</v>
      </c>
      <c r="K14" s="14" t="s">
        <v>20</v>
      </c>
      <c r="L14" s="14" t="str">
        <f t="shared" si="2"/>
        <v>NE</v>
      </c>
      <c r="M14" s="14" t="str">
        <f t="shared" si="3"/>
        <v>Not Eligible</v>
      </c>
    </row>
    <row r="15">
      <c r="A15" s="14">
        <v>110.0</v>
      </c>
      <c r="B15" s="15" t="s">
        <v>29</v>
      </c>
      <c r="C15" s="14" t="s">
        <v>20</v>
      </c>
      <c r="D15" s="14" t="s">
        <v>20</v>
      </c>
      <c r="E15" s="14" t="s">
        <v>20</v>
      </c>
      <c r="F15" s="14" t="s">
        <v>20</v>
      </c>
      <c r="G15" s="14" t="s">
        <v>20</v>
      </c>
      <c r="H15" s="14" t="s">
        <v>20</v>
      </c>
      <c r="I15" s="16" t="str">
        <f t="shared" si="1"/>
        <v>NE</v>
      </c>
      <c r="J15" s="14" t="s">
        <v>20</v>
      </c>
      <c r="K15" s="14" t="s">
        <v>20</v>
      </c>
      <c r="L15" s="14" t="str">
        <f t="shared" si="2"/>
        <v>NE</v>
      </c>
      <c r="M15" s="14" t="str">
        <f t="shared" si="3"/>
        <v>Not Eligible</v>
      </c>
    </row>
    <row r="16">
      <c r="A16" s="14">
        <v>111.0</v>
      </c>
      <c r="B16" s="15" t="s">
        <v>30</v>
      </c>
      <c r="C16" s="14">
        <v>13.2</v>
      </c>
      <c r="D16" s="14">
        <v>10.5</v>
      </c>
      <c r="E16" s="14">
        <v>7.0</v>
      </c>
      <c r="F16" s="14">
        <v>5.0</v>
      </c>
      <c r="G16" s="14">
        <v>5.5</v>
      </c>
      <c r="H16" s="14">
        <v>6.0</v>
      </c>
      <c r="I16" s="16">
        <f t="shared" si="1"/>
        <v>47.2</v>
      </c>
      <c r="J16" s="14">
        <v>46.0</v>
      </c>
      <c r="K16" s="14">
        <v>83.0</v>
      </c>
      <c r="L16" s="14">
        <f t="shared" si="2"/>
        <v>176.2</v>
      </c>
      <c r="M16" s="14" t="str">
        <f t="shared" si="3"/>
        <v>Failed</v>
      </c>
    </row>
    <row r="17">
      <c r="A17" s="14">
        <v>112.0</v>
      </c>
      <c r="B17" s="15" t="s">
        <v>31</v>
      </c>
      <c r="C17" s="14">
        <v>16.2</v>
      </c>
      <c r="D17" s="14">
        <v>12.0</v>
      </c>
      <c r="E17" s="14">
        <v>9.0</v>
      </c>
      <c r="F17" s="14">
        <v>6.0</v>
      </c>
      <c r="G17" s="14">
        <v>10.0</v>
      </c>
      <c r="H17" s="14">
        <v>7.0</v>
      </c>
      <c r="I17" s="16">
        <f t="shared" si="1"/>
        <v>60.2</v>
      </c>
      <c r="J17" s="14">
        <v>42.0</v>
      </c>
      <c r="K17" s="14">
        <v>76.0</v>
      </c>
      <c r="L17" s="14">
        <f t="shared" si="2"/>
        <v>178.2</v>
      </c>
      <c r="M17" s="14" t="str">
        <f t="shared" si="3"/>
        <v>Failed</v>
      </c>
    </row>
    <row r="18">
      <c r="A18" s="14">
        <v>113.0</v>
      </c>
      <c r="B18" s="15" t="s">
        <v>32</v>
      </c>
      <c r="C18" s="14" t="s">
        <v>20</v>
      </c>
      <c r="D18" s="14" t="s">
        <v>20</v>
      </c>
      <c r="E18" s="14" t="s">
        <v>20</v>
      </c>
      <c r="F18" s="14" t="s">
        <v>20</v>
      </c>
      <c r="G18" s="14" t="s">
        <v>20</v>
      </c>
      <c r="H18" s="14" t="s">
        <v>20</v>
      </c>
      <c r="I18" s="16" t="str">
        <f t="shared" si="1"/>
        <v>NE</v>
      </c>
      <c r="J18" s="14" t="s">
        <v>20</v>
      </c>
      <c r="K18" s="14" t="s">
        <v>20</v>
      </c>
      <c r="L18" s="14" t="str">
        <f t="shared" si="2"/>
        <v>NE</v>
      </c>
      <c r="M18" s="14" t="str">
        <f t="shared" si="3"/>
        <v>Not Eligible</v>
      </c>
    </row>
    <row r="19">
      <c r="A19" s="14">
        <v>114.0</v>
      </c>
      <c r="B19" s="15" t="s">
        <v>33</v>
      </c>
      <c r="C19" s="14" t="s">
        <v>20</v>
      </c>
      <c r="D19" s="14" t="s">
        <v>20</v>
      </c>
      <c r="E19" s="14" t="s">
        <v>20</v>
      </c>
      <c r="F19" s="14" t="s">
        <v>20</v>
      </c>
      <c r="G19" s="14" t="s">
        <v>20</v>
      </c>
      <c r="H19" s="14" t="s">
        <v>20</v>
      </c>
      <c r="I19" s="16" t="str">
        <f t="shared" si="1"/>
        <v>NE</v>
      </c>
      <c r="J19" s="14" t="s">
        <v>20</v>
      </c>
      <c r="K19" s="14" t="s">
        <v>20</v>
      </c>
      <c r="L19" s="14" t="str">
        <f t="shared" si="2"/>
        <v>NE</v>
      </c>
      <c r="M19" s="14" t="str">
        <f t="shared" si="3"/>
        <v>Not Eligible</v>
      </c>
    </row>
    <row r="20">
      <c r="A20" s="14">
        <v>115.0</v>
      </c>
      <c r="B20" s="15" t="s">
        <v>34</v>
      </c>
      <c r="C20" s="14" t="s">
        <v>20</v>
      </c>
      <c r="D20" s="14" t="s">
        <v>20</v>
      </c>
      <c r="E20" s="14" t="s">
        <v>20</v>
      </c>
      <c r="F20" s="14" t="s">
        <v>20</v>
      </c>
      <c r="G20" s="14" t="s">
        <v>20</v>
      </c>
      <c r="H20" s="14" t="s">
        <v>20</v>
      </c>
      <c r="I20" s="16" t="str">
        <f t="shared" si="1"/>
        <v>NE</v>
      </c>
      <c r="J20" s="14" t="s">
        <v>20</v>
      </c>
      <c r="K20" s="14" t="s">
        <v>20</v>
      </c>
      <c r="L20" s="14" t="str">
        <f t="shared" si="2"/>
        <v>NE</v>
      </c>
      <c r="M20" s="14" t="str">
        <f t="shared" si="3"/>
        <v>Not Eligible</v>
      </c>
    </row>
    <row r="21">
      <c r="A21" s="14">
        <v>116.0</v>
      </c>
      <c r="B21" s="15" t="s">
        <v>35</v>
      </c>
      <c r="C21" s="14" t="s">
        <v>20</v>
      </c>
      <c r="D21" s="14" t="s">
        <v>20</v>
      </c>
      <c r="E21" s="14" t="s">
        <v>20</v>
      </c>
      <c r="F21" s="14" t="s">
        <v>20</v>
      </c>
      <c r="G21" s="14" t="s">
        <v>20</v>
      </c>
      <c r="H21" s="14" t="s">
        <v>20</v>
      </c>
      <c r="I21" s="16" t="str">
        <f t="shared" si="1"/>
        <v>NE</v>
      </c>
      <c r="J21" s="14" t="s">
        <v>20</v>
      </c>
      <c r="K21" s="14" t="s">
        <v>20</v>
      </c>
      <c r="L21" s="14" t="str">
        <f t="shared" si="2"/>
        <v>NE</v>
      </c>
      <c r="M21" s="14" t="str">
        <f t="shared" si="3"/>
        <v>Not Eligible</v>
      </c>
    </row>
    <row r="22">
      <c r="A22" s="14">
        <v>117.0</v>
      </c>
      <c r="B22" s="15" t="s">
        <v>36</v>
      </c>
      <c r="C22" s="14" t="s">
        <v>20</v>
      </c>
      <c r="D22" s="14" t="s">
        <v>20</v>
      </c>
      <c r="E22" s="14" t="s">
        <v>20</v>
      </c>
      <c r="F22" s="14" t="s">
        <v>20</v>
      </c>
      <c r="G22" s="14" t="s">
        <v>20</v>
      </c>
      <c r="H22" s="14" t="s">
        <v>20</v>
      </c>
      <c r="I22" s="16" t="str">
        <f t="shared" si="1"/>
        <v>NE</v>
      </c>
      <c r="J22" s="14" t="s">
        <v>20</v>
      </c>
      <c r="K22" s="14" t="s">
        <v>20</v>
      </c>
      <c r="L22" s="14" t="str">
        <f t="shared" si="2"/>
        <v>NE</v>
      </c>
      <c r="M22" s="14" t="str">
        <f t="shared" si="3"/>
        <v>Not Eligible</v>
      </c>
    </row>
    <row r="23">
      <c r="A23" s="14">
        <v>118.0</v>
      </c>
      <c r="B23" s="15" t="s">
        <v>37</v>
      </c>
      <c r="C23" s="14" t="s">
        <v>20</v>
      </c>
      <c r="D23" s="14" t="s">
        <v>20</v>
      </c>
      <c r="E23" s="14" t="s">
        <v>20</v>
      </c>
      <c r="F23" s="14" t="s">
        <v>20</v>
      </c>
      <c r="G23" s="14" t="s">
        <v>20</v>
      </c>
      <c r="H23" s="14" t="s">
        <v>20</v>
      </c>
      <c r="I23" s="16" t="str">
        <f t="shared" si="1"/>
        <v>NE</v>
      </c>
      <c r="J23" s="14" t="s">
        <v>20</v>
      </c>
      <c r="K23" s="14" t="s">
        <v>20</v>
      </c>
      <c r="L23" s="14" t="str">
        <f t="shared" si="2"/>
        <v>NE</v>
      </c>
      <c r="M23" s="14" t="str">
        <f t="shared" si="3"/>
        <v>Not Eligible</v>
      </c>
    </row>
    <row r="24">
      <c r="A24" s="14">
        <v>119.0</v>
      </c>
      <c r="B24" s="15" t="s">
        <v>38</v>
      </c>
      <c r="C24" s="14" t="s">
        <v>20</v>
      </c>
      <c r="D24" s="14" t="s">
        <v>20</v>
      </c>
      <c r="E24" s="14" t="s">
        <v>20</v>
      </c>
      <c r="F24" s="14" t="s">
        <v>20</v>
      </c>
      <c r="G24" s="14" t="s">
        <v>20</v>
      </c>
      <c r="H24" s="14" t="s">
        <v>20</v>
      </c>
      <c r="I24" s="16" t="str">
        <f t="shared" si="1"/>
        <v>NE</v>
      </c>
      <c r="J24" s="14" t="s">
        <v>20</v>
      </c>
      <c r="K24" s="14" t="s">
        <v>20</v>
      </c>
      <c r="L24" s="14" t="str">
        <f t="shared" si="2"/>
        <v>NE</v>
      </c>
      <c r="M24" s="14" t="str">
        <f t="shared" si="3"/>
        <v>Not Eligible</v>
      </c>
    </row>
    <row r="25">
      <c r="A25" s="14">
        <v>120.0</v>
      </c>
      <c r="B25" s="15" t="s">
        <v>39</v>
      </c>
      <c r="C25" s="14">
        <v>17.6</v>
      </c>
      <c r="D25" s="14">
        <v>12.0</v>
      </c>
      <c r="E25" s="14">
        <v>6.5</v>
      </c>
      <c r="F25" s="14">
        <v>10.0</v>
      </c>
      <c r="G25" s="14">
        <v>13.5</v>
      </c>
      <c r="H25" s="14">
        <v>8.0</v>
      </c>
      <c r="I25" s="16">
        <f t="shared" si="1"/>
        <v>67.6</v>
      </c>
      <c r="J25" s="14">
        <v>42.0</v>
      </c>
      <c r="K25" s="14">
        <v>75.0</v>
      </c>
      <c r="L25" s="14">
        <f t="shared" si="2"/>
        <v>184.6</v>
      </c>
      <c r="M25" s="14" t="str">
        <f t="shared" si="3"/>
        <v>Failed</v>
      </c>
    </row>
    <row r="26">
      <c r="A26" s="14">
        <v>121.0</v>
      </c>
      <c r="B26" s="15" t="s">
        <v>40</v>
      </c>
      <c r="C26" s="14" t="s">
        <v>20</v>
      </c>
      <c r="D26" s="14" t="s">
        <v>20</v>
      </c>
      <c r="E26" s="14" t="s">
        <v>20</v>
      </c>
      <c r="F26" s="14" t="s">
        <v>20</v>
      </c>
      <c r="G26" s="14" t="s">
        <v>20</v>
      </c>
      <c r="H26" s="14" t="s">
        <v>20</v>
      </c>
      <c r="I26" s="16" t="str">
        <f t="shared" si="1"/>
        <v>NE</v>
      </c>
      <c r="J26" s="14" t="s">
        <v>20</v>
      </c>
      <c r="K26" s="14" t="s">
        <v>20</v>
      </c>
      <c r="L26" s="14" t="str">
        <f t="shared" si="2"/>
        <v>NE</v>
      </c>
      <c r="M26" s="14" t="str">
        <f t="shared" si="3"/>
        <v>Not Eligible</v>
      </c>
    </row>
    <row r="27">
      <c r="A27" s="14">
        <v>122.0</v>
      </c>
      <c r="B27" s="15" t="s">
        <v>41</v>
      </c>
      <c r="C27" s="14">
        <v>17.0</v>
      </c>
      <c r="D27" s="14">
        <v>11.5</v>
      </c>
      <c r="E27" s="14">
        <v>11.0</v>
      </c>
      <c r="F27" s="14">
        <v>10.5</v>
      </c>
      <c r="G27" s="14">
        <v>14.0</v>
      </c>
      <c r="H27" s="14">
        <v>8.0</v>
      </c>
      <c r="I27" s="16">
        <f t="shared" si="1"/>
        <v>72</v>
      </c>
      <c r="J27" s="14">
        <v>68.0</v>
      </c>
      <c r="K27" s="14">
        <v>84.0</v>
      </c>
      <c r="L27" s="14">
        <f t="shared" si="2"/>
        <v>224</v>
      </c>
      <c r="M27" s="14" t="str">
        <f t="shared" si="3"/>
        <v>Passed</v>
      </c>
    </row>
    <row r="28">
      <c r="A28" s="14">
        <v>123.0</v>
      </c>
      <c r="B28" s="15" t="s">
        <v>42</v>
      </c>
      <c r="C28" s="14">
        <v>14.8</v>
      </c>
      <c r="D28" s="14">
        <v>12.5</v>
      </c>
      <c r="E28" s="14">
        <v>12.0</v>
      </c>
      <c r="F28" s="14">
        <v>11.5</v>
      </c>
      <c r="G28" s="14">
        <v>10.5</v>
      </c>
      <c r="H28" s="14">
        <v>6.0</v>
      </c>
      <c r="I28" s="16">
        <f t="shared" si="1"/>
        <v>67.3</v>
      </c>
      <c r="J28" s="14">
        <v>74.0</v>
      </c>
      <c r="K28" s="14">
        <v>81.0</v>
      </c>
      <c r="L28" s="14">
        <f t="shared" si="2"/>
        <v>222.3</v>
      </c>
      <c r="M28" s="14" t="str">
        <f t="shared" si="3"/>
        <v>Passed</v>
      </c>
    </row>
    <row r="29">
      <c r="A29" s="14">
        <v>124.0</v>
      </c>
      <c r="B29" s="15" t="s">
        <v>43</v>
      </c>
      <c r="C29" s="14">
        <v>16.4</v>
      </c>
      <c r="D29" s="14">
        <v>11.5</v>
      </c>
      <c r="E29" s="14">
        <v>7.0</v>
      </c>
      <c r="F29" s="14">
        <v>9.0</v>
      </c>
      <c r="G29" s="14">
        <v>5.5</v>
      </c>
      <c r="H29" s="14">
        <v>7.0</v>
      </c>
      <c r="I29" s="16">
        <f t="shared" si="1"/>
        <v>56.4</v>
      </c>
      <c r="J29" s="14">
        <v>36.0</v>
      </c>
      <c r="K29" s="14">
        <v>81.0</v>
      </c>
      <c r="L29" s="14">
        <f t="shared" si="2"/>
        <v>173.4</v>
      </c>
      <c r="M29" s="14" t="str">
        <f t="shared" si="3"/>
        <v>Failed</v>
      </c>
    </row>
    <row r="30">
      <c r="A30" s="14">
        <v>125.0</v>
      </c>
      <c r="B30" s="15" t="s">
        <v>44</v>
      </c>
      <c r="C30" s="14" t="s">
        <v>20</v>
      </c>
      <c r="D30" s="14" t="s">
        <v>20</v>
      </c>
      <c r="E30" s="14" t="s">
        <v>20</v>
      </c>
      <c r="F30" s="14" t="s">
        <v>20</v>
      </c>
      <c r="G30" s="14" t="s">
        <v>20</v>
      </c>
      <c r="H30" s="14" t="s">
        <v>20</v>
      </c>
      <c r="I30" s="16" t="str">
        <f t="shared" si="1"/>
        <v>NE</v>
      </c>
      <c r="J30" s="14" t="s">
        <v>20</v>
      </c>
      <c r="K30" s="14" t="s">
        <v>20</v>
      </c>
      <c r="L30" s="14" t="str">
        <f t="shared" si="2"/>
        <v>NE</v>
      </c>
      <c r="M30" s="14" t="str">
        <f t="shared" si="3"/>
        <v>Not Eligible</v>
      </c>
    </row>
    <row r="31">
      <c r="A31" s="14">
        <v>126.0</v>
      </c>
      <c r="B31" s="15" t="s">
        <v>45</v>
      </c>
      <c r="C31" s="14">
        <v>13.2</v>
      </c>
      <c r="D31" s="14">
        <v>14.0</v>
      </c>
      <c r="E31" s="14">
        <v>12.5</v>
      </c>
      <c r="F31" s="14">
        <v>9.0</v>
      </c>
      <c r="G31" s="14">
        <v>13.0</v>
      </c>
      <c r="H31" s="14">
        <v>8.0</v>
      </c>
      <c r="I31" s="16">
        <f t="shared" si="1"/>
        <v>69.7</v>
      </c>
      <c r="J31" s="14">
        <v>46.0</v>
      </c>
      <c r="K31" s="14">
        <v>84.5</v>
      </c>
      <c r="L31" s="14">
        <f t="shared" si="2"/>
        <v>200.2</v>
      </c>
      <c r="M31" s="14" t="str">
        <f t="shared" si="3"/>
        <v>Failed</v>
      </c>
    </row>
    <row r="32">
      <c r="A32" s="14">
        <v>127.0</v>
      </c>
      <c r="B32" s="15" t="s">
        <v>46</v>
      </c>
      <c r="C32" s="14">
        <v>13.0</v>
      </c>
      <c r="D32" s="14">
        <v>11.0</v>
      </c>
      <c r="E32" s="14">
        <v>11.0</v>
      </c>
      <c r="F32" s="14">
        <v>8.0</v>
      </c>
      <c r="G32" s="14">
        <v>13.5</v>
      </c>
      <c r="H32" s="14">
        <v>8.0</v>
      </c>
      <c r="I32" s="16">
        <f t="shared" si="1"/>
        <v>64.5</v>
      </c>
      <c r="J32" s="14">
        <v>60.0</v>
      </c>
      <c r="K32" s="14">
        <v>74.0</v>
      </c>
      <c r="L32" s="14">
        <f t="shared" si="2"/>
        <v>198.5</v>
      </c>
      <c r="M32" s="14" t="str">
        <f t="shared" si="3"/>
        <v>Passed</v>
      </c>
    </row>
    <row r="33">
      <c r="A33" s="14">
        <v>128.0</v>
      </c>
      <c r="B33" s="15" t="s">
        <v>47</v>
      </c>
      <c r="C33" s="14" t="s">
        <v>20</v>
      </c>
      <c r="D33" s="14" t="s">
        <v>20</v>
      </c>
      <c r="E33" s="14" t="s">
        <v>20</v>
      </c>
      <c r="F33" s="14" t="s">
        <v>20</v>
      </c>
      <c r="G33" s="14" t="s">
        <v>20</v>
      </c>
      <c r="H33" s="14" t="s">
        <v>20</v>
      </c>
      <c r="I33" s="16" t="str">
        <f t="shared" si="1"/>
        <v>NE</v>
      </c>
      <c r="J33" s="14" t="s">
        <v>20</v>
      </c>
      <c r="K33" s="14" t="s">
        <v>20</v>
      </c>
      <c r="L33" s="14" t="str">
        <f t="shared" si="2"/>
        <v>NE</v>
      </c>
      <c r="M33" s="14" t="str">
        <f t="shared" si="3"/>
        <v>Not Eligible</v>
      </c>
    </row>
    <row r="34">
      <c r="A34" s="14">
        <v>129.0</v>
      </c>
      <c r="B34" s="15" t="s">
        <v>48</v>
      </c>
      <c r="C34" s="14" t="s">
        <v>20</v>
      </c>
      <c r="D34" s="14" t="s">
        <v>20</v>
      </c>
      <c r="E34" s="14" t="s">
        <v>20</v>
      </c>
      <c r="F34" s="14" t="s">
        <v>20</v>
      </c>
      <c r="G34" s="14" t="s">
        <v>20</v>
      </c>
      <c r="H34" s="14" t="s">
        <v>20</v>
      </c>
      <c r="I34" s="16" t="str">
        <f t="shared" si="1"/>
        <v>NE</v>
      </c>
      <c r="J34" s="14" t="s">
        <v>20</v>
      </c>
      <c r="K34" s="14" t="s">
        <v>20</v>
      </c>
      <c r="L34" s="14" t="str">
        <f t="shared" si="2"/>
        <v>NE</v>
      </c>
      <c r="M34" s="14" t="str">
        <f t="shared" si="3"/>
        <v>Not Eligible</v>
      </c>
    </row>
    <row r="35">
      <c r="A35" s="14">
        <v>130.0</v>
      </c>
      <c r="B35" s="15" t="s">
        <v>49</v>
      </c>
      <c r="C35" s="14">
        <v>12.0</v>
      </c>
      <c r="D35" s="14">
        <v>9.5</v>
      </c>
      <c r="E35" s="14">
        <v>9.0</v>
      </c>
      <c r="F35" s="14">
        <v>10.0</v>
      </c>
      <c r="G35" s="14">
        <v>11.0</v>
      </c>
      <c r="H35" s="14">
        <v>8.0</v>
      </c>
      <c r="I35" s="16">
        <f t="shared" si="1"/>
        <v>59.5</v>
      </c>
      <c r="J35" s="14">
        <v>24.0</v>
      </c>
      <c r="K35" s="14">
        <v>70.0</v>
      </c>
      <c r="L35" s="14">
        <f t="shared" si="2"/>
        <v>153.5</v>
      </c>
      <c r="M35" s="14" t="str">
        <f t="shared" si="3"/>
        <v>Failed</v>
      </c>
    </row>
    <row r="36">
      <c r="A36" s="14">
        <v>131.0</v>
      </c>
      <c r="B36" s="15" t="s">
        <v>50</v>
      </c>
      <c r="C36" s="14">
        <v>13.2</v>
      </c>
      <c r="D36" s="14">
        <v>10.0</v>
      </c>
      <c r="E36" s="14">
        <v>11.5</v>
      </c>
      <c r="F36" s="14">
        <v>10.0</v>
      </c>
      <c r="G36" s="14">
        <v>9.5</v>
      </c>
      <c r="H36" s="14">
        <v>7.0</v>
      </c>
      <c r="I36" s="16">
        <f t="shared" si="1"/>
        <v>61.2</v>
      </c>
      <c r="J36" s="14">
        <v>72.0</v>
      </c>
      <c r="K36" s="14">
        <v>87.0</v>
      </c>
      <c r="L36" s="14">
        <f t="shared" si="2"/>
        <v>220.2</v>
      </c>
      <c r="M36" s="14" t="str">
        <f t="shared" si="3"/>
        <v>Passed</v>
      </c>
    </row>
    <row r="37">
      <c r="A37" s="14">
        <v>132.0</v>
      </c>
      <c r="B37" s="15" t="s">
        <v>51</v>
      </c>
      <c r="C37" s="14" t="s">
        <v>20</v>
      </c>
      <c r="D37" s="14" t="s">
        <v>20</v>
      </c>
      <c r="E37" s="14" t="s">
        <v>20</v>
      </c>
      <c r="F37" s="14" t="s">
        <v>20</v>
      </c>
      <c r="G37" s="14" t="s">
        <v>20</v>
      </c>
      <c r="H37" s="14" t="s">
        <v>20</v>
      </c>
      <c r="I37" s="16" t="str">
        <f t="shared" si="1"/>
        <v>NE</v>
      </c>
      <c r="J37" s="14" t="s">
        <v>20</v>
      </c>
      <c r="K37" s="14" t="s">
        <v>20</v>
      </c>
      <c r="L37" s="14" t="str">
        <f t="shared" si="2"/>
        <v>NE</v>
      </c>
      <c r="M37" s="14" t="str">
        <f t="shared" si="3"/>
        <v>Not Eligible</v>
      </c>
    </row>
    <row r="38">
      <c r="A38" s="14">
        <v>133.0</v>
      </c>
      <c r="B38" s="18" t="s">
        <v>52</v>
      </c>
      <c r="C38" s="14" t="s">
        <v>20</v>
      </c>
      <c r="D38" s="14" t="s">
        <v>20</v>
      </c>
      <c r="E38" s="14" t="s">
        <v>20</v>
      </c>
      <c r="F38" s="14" t="s">
        <v>20</v>
      </c>
      <c r="G38" s="14" t="s">
        <v>20</v>
      </c>
      <c r="H38" s="14" t="s">
        <v>20</v>
      </c>
      <c r="I38" s="16" t="str">
        <f t="shared" si="1"/>
        <v>NE</v>
      </c>
      <c r="J38" s="14" t="s">
        <v>20</v>
      </c>
      <c r="K38" s="14" t="s">
        <v>20</v>
      </c>
      <c r="L38" s="14" t="str">
        <f t="shared" si="2"/>
        <v>NE</v>
      </c>
      <c r="M38" s="14" t="str">
        <f t="shared" si="3"/>
        <v>Not Eligible</v>
      </c>
    </row>
    <row r="39">
      <c r="A39" s="14">
        <v>134.0</v>
      </c>
      <c r="B39" s="18" t="s">
        <v>53</v>
      </c>
      <c r="C39" s="14">
        <v>14.8</v>
      </c>
      <c r="D39" s="14">
        <v>9.0</v>
      </c>
      <c r="E39" s="14">
        <v>8.0</v>
      </c>
      <c r="F39" s="14">
        <v>7.0</v>
      </c>
      <c r="G39" s="14">
        <v>9.0</v>
      </c>
      <c r="H39" s="14">
        <v>8.0</v>
      </c>
      <c r="I39" s="16">
        <f t="shared" si="1"/>
        <v>55.8</v>
      </c>
      <c r="J39" s="14">
        <v>54.0</v>
      </c>
      <c r="K39" s="14">
        <v>53.0</v>
      </c>
      <c r="L39" s="14">
        <f t="shared" si="2"/>
        <v>162.8</v>
      </c>
      <c r="M39" s="14" t="str">
        <f t="shared" si="3"/>
        <v>Failed</v>
      </c>
    </row>
    <row r="40">
      <c r="A40" s="14">
        <v>135.0</v>
      </c>
      <c r="B40" s="18" t="s">
        <v>54</v>
      </c>
      <c r="C40" s="14" t="s">
        <v>20</v>
      </c>
      <c r="D40" s="14" t="s">
        <v>20</v>
      </c>
      <c r="E40" s="14" t="s">
        <v>20</v>
      </c>
      <c r="F40" s="14" t="s">
        <v>20</v>
      </c>
      <c r="G40" s="14" t="s">
        <v>20</v>
      </c>
      <c r="H40" s="14" t="s">
        <v>20</v>
      </c>
      <c r="I40" s="16" t="str">
        <f t="shared" si="1"/>
        <v>NE</v>
      </c>
      <c r="J40" s="14" t="s">
        <v>20</v>
      </c>
      <c r="K40" s="14" t="s">
        <v>20</v>
      </c>
      <c r="L40" s="14" t="str">
        <f t="shared" si="2"/>
        <v>NE</v>
      </c>
      <c r="M40" s="14" t="str">
        <f t="shared" si="3"/>
        <v>Not Eligible</v>
      </c>
    </row>
    <row r="41">
      <c r="A41" s="14">
        <v>136.0</v>
      </c>
      <c r="B41" s="18" t="s">
        <v>55</v>
      </c>
      <c r="C41" s="14">
        <v>16.8</v>
      </c>
      <c r="D41" s="14">
        <v>9.5</v>
      </c>
      <c r="E41" s="14">
        <v>7.5</v>
      </c>
      <c r="F41" s="14">
        <v>9.5</v>
      </c>
      <c r="G41" s="14">
        <v>9.0</v>
      </c>
      <c r="H41" s="14">
        <v>8.0</v>
      </c>
      <c r="I41" s="16">
        <f t="shared" si="1"/>
        <v>60.3</v>
      </c>
      <c r="J41" s="14">
        <v>66.0</v>
      </c>
      <c r="K41" s="14">
        <v>84.0</v>
      </c>
      <c r="L41" s="14">
        <f t="shared" si="2"/>
        <v>210.3</v>
      </c>
      <c r="M41" s="14" t="str">
        <f t="shared" si="3"/>
        <v>Passed</v>
      </c>
    </row>
    <row r="42">
      <c r="A42" s="14">
        <v>137.0</v>
      </c>
      <c r="B42" s="18" t="s">
        <v>56</v>
      </c>
      <c r="C42" s="14">
        <v>13.4</v>
      </c>
      <c r="D42" s="14">
        <v>11.0</v>
      </c>
      <c r="E42" s="14">
        <v>11.5</v>
      </c>
      <c r="F42" s="14">
        <v>10.0</v>
      </c>
      <c r="G42" s="14">
        <v>12.0</v>
      </c>
      <c r="H42" s="14">
        <v>7.0</v>
      </c>
      <c r="I42" s="16">
        <f t="shared" si="1"/>
        <v>64.9</v>
      </c>
      <c r="J42" s="14">
        <v>70.0</v>
      </c>
      <c r="K42" s="14">
        <v>80.0</v>
      </c>
      <c r="L42" s="14">
        <f t="shared" si="2"/>
        <v>214.9</v>
      </c>
      <c r="M42" s="14" t="str">
        <f t="shared" si="3"/>
        <v>Passed</v>
      </c>
    </row>
    <row r="43">
      <c r="A43" s="14">
        <v>138.0</v>
      </c>
      <c r="B43" s="18" t="s">
        <v>57</v>
      </c>
      <c r="C43" s="14">
        <v>14.2</v>
      </c>
      <c r="D43" s="14">
        <v>6.0</v>
      </c>
      <c r="E43" s="14">
        <v>10.0</v>
      </c>
      <c r="F43" s="14">
        <v>6.0</v>
      </c>
      <c r="G43" s="14">
        <v>5.5</v>
      </c>
      <c r="H43" s="14">
        <v>8.0</v>
      </c>
      <c r="I43" s="16">
        <f t="shared" si="1"/>
        <v>49.7</v>
      </c>
      <c r="J43" s="14">
        <v>34.0</v>
      </c>
      <c r="K43" s="14">
        <v>58.0</v>
      </c>
      <c r="L43" s="14">
        <f t="shared" si="2"/>
        <v>141.7</v>
      </c>
      <c r="M43" s="14" t="str">
        <f t="shared" si="3"/>
        <v>Failed</v>
      </c>
    </row>
    <row r="44">
      <c r="A44" s="14">
        <v>139.0</v>
      </c>
      <c r="B44" s="18" t="s">
        <v>58</v>
      </c>
      <c r="C44" s="14" t="s">
        <v>20</v>
      </c>
      <c r="D44" s="14" t="s">
        <v>20</v>
      </c>
      <c r="E44" s="14" t="s">
        <v>20</v>
      </c>
      <c r="F44" s="14" t="s">
        <v>20</v>
      </c>
      <c r="G44" s="14" t="s">
        <v>20</v>
      </c>
      <c r="H44" s="14" t="s">
        <v>20</v>
      </c>
      <c r="I44" s="16" t="str">
        <f t="shared" si="1"/>
        <v>NE</v>
      </c>
      <c r="J44" s="14" t="s">
        <v>20</v>
      </c>
      <c r="K44" s="14" t="s">
        <v>20</v>
      </c>
      <c r="L44" s="14" t="str">
        <f t="shared" si="2"/>
        <v>NE</v>
      </c>
      <c r="M44" s="14" t="str">
        <f t="shared" si="3"/>
        <v>Not Eligible</v>
      </c>
    </row>
    <row r="45">
      <c r="A45" s="14">
        <v>140.0</v>
      </c>
      <c r="B45" s="18" t="s">
        <v>59</v>
      </c>
      <c r="C45" s="14">
        <v>12.0</v>
      </c>
      <c r="D45" s="14">
        <v>10.5</v>
      </c>
      <c r="E45" s="14">
        <v>8.5</v>
      </c>
      <c r="F45" s="14">
        <v>9.5</v>
      </c>
      <c r="G45" s="14">
        <v>10.0</v>
      </c>
      <c r="H45" s="14">
        <v>9.0</v>
      </c>
      <c r="I45" s="16">
        <f t="shared" si="1"/>
        <v>59.5</v>
      </c>
      <c r="J45" s="14">
        <v>48.0</v>
      </c>
      <c r="K45" s="14">
        <v>74.0</v>
      </c>
      <c r="L45" s="14">
        <f t="shared" si="2"/>
        <v>181.5</v>
      </c>
      <c r="M45" s="14" t="str">
        <f t="shared" si="3"/>
        <v>Failed</v>
      </c>
    </row>
    <row r="46">
      <c r="A46" s="14">
        <v>141.0</v>
      </c>
      <c r="B46" s="18" t="s">
        <v>60</v>
      </c>
      <c r="C46" s="14">
        <v>14.2</v>
      </c>
      <c r="D46" s="14">
        <v>13.0</v>
      </c>
      <c r="E46" s="14">
        <v>8.5</v>
      </c>
      <c r="F46" s="14">
        <v>12.0</v>
      </c>
      <c r="G46" s="14">
        <v>12.0</v>
      </c>
      <c r="H46" s="14">
        <v>7.0</v>
      </c>
      <c r="I46" s="16">
        <f t="shared" si="1"/>
        <v>66.7</v>
      </c>
      <c r="J46" s="14">
        <v>72.0</v>
      </c>
      <c r="K46" s="14">
        <v>80.0</v>
      </c>
      <c r="L46" s="14">
        <f t="shared" si="2"/>
        <v>218.7</v>
      </c>
      <c r="M46" s="14" t="str">
        <f t="shared" si="3"/>
        <v>Passed</v>
      </c>
    </row>
    <row r="47">
      <c r="A47" s="14">
        <v>142.0</v>
      </c>
      <c r="B47" s="18" t="s">
        <v>61</v>
      </c>
      <c r="C47" s="14" t="s">
        <v>20</v>
      </c>
      <c r="D47" s="14" t="s">
        <v>20</v>
      </c>
      <c r="E47" s="14" t="s">
        <v>20</v>
      </c>
      <c r="F47" s="14" t="s">
        <v>20</v>
      </c>
      <c r="G47" s="14" t="s">
        <v>20</v>
      </c>
      <c r="H47" s="14" t="s">
        <v>20</v>
      </c>
      <c r="I47" s="16" t="str">
        <f t="shared" si="1"/>
        <v>NE</v>
      </c>
      <c r="J47" s="14" t="s">
        <v>20</v>
      </c>
      <c r="K47" s="14" t="s">
        <v>20</v>
      </c>
      <c r="L47" s="14" t="str">
        <f t="shared" si="2"/>
        <v>NE</v>
      </c>
      <c r="M47" s="14" t="str">
        <f t="shared" si="3"/>
        <v>Not Eligible</v>
      </c>
    </row>
    <row r="48">
      <c r="A48" s="14">
        <v>143.0</v>
      </c>
      <c r="B48" s="18" t="s">
        <v>62</v>
      </c>
      <c r="C48" s="14" t="s">
        <v>20</v>
      </c>
      <c r="D48" s="14" t="s">
        <v>20</v>
      </c>
      <c r="E48" s="14" t="s">
        <v>20</v>
      </c>
      <c r="F48" s="14" t="s">
        <v>20</v>
      </c>
      <c r="G48" s="14" t="s">
        <v>20</v>
      </c>
      <c r="H48" s="14" t="s">
        <v>20</v>
      </c>
      <c r="I48" s="16" t="str">
        <f t="shared" si="1"/>
        <v>NE</v>
      </c>
      <c r="J48" s="14" t="s">
        <v>20</v>
      </c>
      <c r="K48" s="14" t="s">
        <v>20</v>
      </c>
      <c r="L48" s="14" t="str">
        <f t="shared" si="2"/>
        <v>NE</v>
      </c>
      <c r="M48" s="14" t="str">
        <f t="shared" si="3"/>
        <v>Not Eligible</v>
      </c>
    </row>
    <row r="49">
      <c r="A49" s="14">
        <v>144.0</v>
      </c>
      <c r="B49" s="18" t="s">
        <v>63</v>
      </c>
      <c r="C49" s="14">
        <v>17.4</v>
      </c>
      <c r="D49" s="14">
        <v>9.5</v>
      </c>
      <c r="E49" s="14">
        <v>13.5</v>
      </c>
      <c r="F49" s="14">
        <v>9.0</v>
      </c>
      <c r="G49" s="14">
        <v>11.0</v>
      </c>
      <c r="H49" s="14">
        <v>8.0</v>
      </c>
      <c r="I49" s="16">
        <f t="shared" si="1"/>
        <v>68.4</v>
      </c>
      <c r="J49" s="14">
        <v>30.0</v>
      </c>
      <c r="K49" s="14">
        <v>63.0</v>
      </c>
      <c r="L49" s="14">
        <f t="shared" si="2"/>
        <v>161.4</v>
      </c>
      <c r="M49" s="14" t="str">
        <f t="shared" si="3"/>
        <v>Failed</v>
      </c>
    </row>
    <row r="50">
      <c r="A50" s="14">
        <v>145.0</v>
      </c>
      <c r="B50" s="18" t="s">
        <v>64</v>
      </c>
      <c r="C50" s="14" t="s">
        <v>20</v>
      </c>
      <c r="D50" s="14" t="s">
        <v>20</v>
      </c>
      <c r="E50" s="14" t="s">
        <v>20</v>
      </c>
      <c r="F50" s="14" t="s">
        <v>20</v>
      </c>
      <c r="G50" s="14" t="s">
        <v>20</v>
      </c>
      <c r="H50" s="14" t="s">
        <v>20</v>
      </c>
      <c r="I50" s="16" t="str">
        <f t="shared" si="1"/>
        <v>NE</v>
      </c>
      <c r="J50" s="14" t="s">
        <v>20</v>
      </c>
      <c r="K50" s="14" t="s">
        <v>20</v>
      </c>
      <c r="L50" s="14" t="str">
        <f t="shared" si="2"/>
        <v>NE</v>
      </c>
      <c r="M50" s="14" t="str">
        <f t="shared" si="3"/>
        <v>Not Eligible</v>
      </c>
    </row>
    <row r="51">
      <c r="A51" s="14">
        <v>146.0</v>
      </c>
      <c r="B51" s="18" t="s">
        <v>65</v>
      </c>
      <c r="C51" s="14">
        <v>14.6</v>
      </c>
      <c r="D51" s="14">
        <v>13.0</v>
      </c>
      <c r="E51" s="14">
        <v>11.5</v>
      </c>
      <c r="F51" s="14">
        <v>13.5</v>
      </c>
      <c r="G51" s="14">
        <v>13.5</v>
      </c>
      <c r="H51" s="14">
        <v>7.0</v>
      </c>
      <c r="I51" s="16">
        <f t="shared" si="1"/>
        <v>73.1</v>
      </c>
      <c r="J51" s="14">
        <v>32.0</v>
      </c>
      <c r="K51" s="14">
        <v>74.0</v>
      </c>
      <c r="L51" s="14">
        <f t="shared" si="2"/>
        <v>179.1</v>
      </c>
      <c r="M51" s="14" t="str">
        <f t="shared" si="3"/>
        <v>Failed</v>
      </c>
    </row>
    <row r="52">
      <c r="A52" s="14">
        <v>147.0</v>
      </c>
      <c r="B52" s="18" t="s">
        <v>66</v>
      </c>
      <c r="C52" s="14">
        <v>17.0</v>
      </c>
      <c r="D52" s="14">
        <v>11.5</v>
      </c>
      <c r="E52" s="14">
        <v>13.5</v>
      </c>
      <c r="F52" s="14">
        <v>11.5</v>
      </c>
      <c r="G52" s="14">
        <v>13.0</v>
      </c>
      <c r="H52" s="14">
        <v>7.0</v>
      </c>
      <c r="I52" s="16">
        <f t="shared" si="1"/>
        <v>73.5</v>
      </c>
      <c r="J52" s="14">
        <v>52.0</v>
      </c>
      <c r="K52" s="14">
        <v>78.0</v>
      </c>
      <c r="L52" s="14">
        <f t="shared" si="2"/>
        <v>203.5</v>
      </c>
      <c r="M52" s="14" t="str">
        <f t="shared" si="3"/>
        <v>Failed</v>
      </c>
    </row>
    <row r="53">
      <c r="A53" s="14">
        <v>148.0</v>
      </c>
      <c r="B53" s="18" t="s">
        <v>67</v>
      </c>
      <c r="C53" s="14">
        <v>15.0</v>
      </c>
      <c r="D53" s="14">
        <v>13.5</v>
      </c>
      <c r="E53" s="14">
        <v>13.5</v>
      </c>
      <c r="F53" s="14">
        <v>11.5</v>
      </c>
      <c r="G53" s="14">
        <v>13.5</v>
      </c>
      <c r="H53" s="14">
        <v>9.0</v>
      </c>
      <c r="I53" s="16">
        <f t="shared" si="1"/>
        <v>76</v>
      </c>
      <c r="J53" s="14">
        <v>40.0</v>
      </c>
      <c r="K53" s="14">
        <v>77.0</v>
      </c>
      <c r="L53" s="14">
        <f t="shared" si="2"/>
        <v>193</v>
      </c>
      <c r="M53" s="14" t="str">
        <f t="shared" si="3"/>
        <v>Failed</v>
      </c>
    </row>
    <row r="54">
      <c r="A54" s="14">
        <v>149.0</v>
      </c>
      <c r="B54" s="18" t="s">
        <v>68</v>
      </c>
      <c r="C54" s="14" t="s">
        <v>20</v>
      </c>
      <c r="D54" s="14" t="s">
        <v>20</v>
      </c>
      <c r="E54" s="14" t="s">
        <v>20</v>
      </c>
      <c r="F54" s="14" t="s">
        <v>20</v>
      </c>
      <c r="G54" s="14" t="s">
        <v>20</v>
      </c>
      <c r="H54" s="14" t="s">
        <v>20</v>
      </c>
      <c r="I54" s="16" t="str">
        <f t="shared" si="1"/>
        <v>NE</v>
      </c>
      <c r="J54" s="14" t="s">
        <v>20</v>
      </c>
      <c r="K54" s="14" t="s">
        <v>20</v>
      </c>
      <c r="L54" s="14" t="str">
        <f t="shared" si="2"/>
        <v>NE</v>
      </c>
      <c r="M54" s="14" t="str">
        <f t="shared" si="3"/>
        <v>Not Eligible</v>
      </c>
    </row>
    <row r="55">
      <c r="A55" s="14">
        <v>150.0</v>
      </c>
      <c r="B55" s="18" t="s">
        <v>69</v>
      </c>
      <c r="C55" s="14">
        <v>13.2</v>
      </c>
      <c r="D55" s="14">
        <v>12.5</v>
      </c>
      <c r="E55" s="14">
        <v>7.5</v>
      </c>
      <c r="F55" s="14">
        <v>8.0</v>
      </c>
      <c r="G55" s="14">
        <v>14.0</v>
      </c>
      <c r="H55" s="14">
        <v>7.0</v>
      </c>
      <c r="I55" s="16">
        <f t="shared" si="1"/>
        <v>62.2</v>
      </c>
      <c r="J55" s="14">
        <v>34.0</v>
      </c>
      <c r="K55" s="14">
        <v>60.0</v>
      </c>
      <c r="L55" s="14">
        <f t="shared" si="2"/>
        <v>156.2</v>
      </c>
      <c r="M55" s="14" t="str">
        <f t="shared" si="3"/>
        <v>Failed</v>
      </c>
    </row>
    <row r="56">
      <c r="A56" s="14">
        <v>151.0</v>
      </c>
      <c r="B56" s="18" t="s">
        <v>70</v>
      </c>
      <c r="C56" s="14" t="s">
        <v>20</v>
      </c>
      <c r="D56" s="14" t="s">
        <v>20</v>
      </c>
      <c r="E56" s="14" t="s">
        <v>20</v>
      </c>
      <c r="F56" s="14" t="s">
        <v>20</v>
      </c>
      <c r="G56" s="14" t="s">
        <v>20</v>
      </c>
      <c r="H56" s="14" t="s">
        <v>20</v>
      </c>
      <c r="I56" s="16" t="str">
        <f t="shared" si="1"/>
        <v>NE</v>
      </c>
      <c r="J56" s="14" t="s">
        <v>20</v>
      </c>
      <c r="K56" s="14" t="s">
        <v>20</v>
      </c>
      <c r="L56" s="14" t="str">
        <f t="shared" si="2"/>
        <v>NE</v>
      </c>
      <c r="M56" s="14" t="str">
        <f t="shared" si="3"/>
        <v>Not Eligible</v>
      </c>
    </row>
    <row r="57">
      <c r="A57" s="14">
        <v>152.0</v>
      </c>
      <c r="B57" s="18" t="s">
        <v>71</v>
      </c>
      <c r="C57" s="14" t="s">
        <v>20</v>
      </c>
      <c r="D57" s="14" t="s">
        <v>20</v>
      </c>
      <c r="E57" s="14" t="s">
        <v>20</v>
      </c>
      <c r="F57" s="14" t="s">
        <v>20</v>
      </c>
      <c r="G57" s="14" t="s">
        <v>20</v>
      </c>
      <c r="H57" s="14" t="s">
        <v>20</v>
      </c>
      <c r="I57" s="16" t="str">
        <f t="shared" si="1"/>
        <v>NE</v>
      </c>
      <c r="J57" s="14" t="s">
        <v>20</v>
      </c>
      <c r="K57" s="14" t="s">
        <v>20</v>
      </c>
      <c r="L57" s="14" t="str">
        <f t="shared" si="2"/>
        <v>NE</v>
      </c>
      <c r="M57" s="14" t="str">
        <f t="shared" si="3"/>
        <v>Not Eligible</v>
      </c>
    </row>
    <row r="58">
      <c r="A58" s="14">
        <v>153.0</v>
      </c>
      <c r="B58" s="18" t="s">
        <v>72</v>
      </c>
      <c r="C58" s="14">
        <v>13.6</v>
      </c>
      <c r="D58" s="14">
        <v>12.0</v>
      </c>
      <c r="E58" s="14">
        <v>12.5</v>
      </c>
      <c r="F58" s="14">
        <v>12.0</v>
      </c>
      <c r="G58" s="14">
        <v>11.0</v>
      </c>
      <c r="H58" s="14">
        <v>7.0</v>
      </c>
      <c r="I58" s="16">
        <f t="shared" si="1"/>
        <v>68.1</v>
      </c>
      <c r="J58" s="14">
        <v>60.0</v>
      </c>
      <c r="K58" s="14">
        <v>73.0</v>
      </c>
      <c r="L58" s="14">
        <f t="shared" si="2"/>
        <v>201.1</v>
      </c>
      <c r="M58" s="14" t="str">
        <f t="shared" si="3"/>
        <v>Passed</v>
      </c>
    </row>
    <row r="59">
      <c r="A59" s="14">
        <v>154.0</v>
      </c>
      <c r="B59" s="18" t="s">
        <v>73</v>
      </c>
      <c r="C59" s="14" t="s">
        <v>20</v>
      </c>
      <c r="D59" s="14" t="s">
        <v>20</v>
      </c>
      <c r="E59" s="14" t="s">
        <v>20</v>
      </c>
      <c r="F59" s="14" t="s">
        <v>20</v>
      </c>
      <c r="G59" s="14" t="s">
        <v>20</v>
      </c>
      <c r="H59" s="14" t="s">
        <v>20</v>
      </c>
      <c r="I59" s="16" t="str">
        <f t="shared" si="1"/>
        <v>NE</v>
      </c>
      <c r="J59" s="14" t="s">
        <v>20</v>
      </c>
      <c r="K59" s="14" t="s">
        <v>20</v>
      </c>
      <c r="L59" s="14" t="str">
        <f t="shared" si="2"/>
        <v>NE</v>
      </c>
      <c r="M59" s="14" t="str">
        <f t="shared" si="3"/>
        <v>Not Eligible</v>
      </c>
    </row>
    <row r="60">
      <c r="A60" s="14">
        <v>155.0</v>
      </c>
      <c r="B60" s="18" t="s">
        <v>74</v>
      </c>
      <c r="C60" s="14" t="s">
        <v>20</v>
      </c>
      <c r="D60" s="14" t="s">
        <v>20</v>
      </c>
      <c r="E60" s="14" t="s">
        <v>20</v>
      </c>
      <c r="F60" s="14" t="s">
        <v>20</v>
      </c>
      <c r="G60" s="14" t="s">
        <v>20</v>
      </c>
      <c r="H60" s="14" t="s">
        <v>20</v>
      </c>
      <c r="I60" s="16" t="str">
        <f t="shared" si="1"/>
        <v>NE</v>
      </c>
      <c r="J60" s="14" t="s">
        <v>20</v>
      </c>
      <c r="K60" s="14" t="s">
        <v>20</v>
      </c>
      <c r="L60" s="14" t="str">
        <f t="shared" si="2"/>
        <v>NE</v>
      </c>
      <c r="M60" s="14" t="str">
        <f t="shared" si="3"/>
        <v>Not Eligible</v>
      </c>
    </row>
    <row r="61">
      <c r="A61" s="14">
        <v>156.0</v>
      </c>
      <c r="B61" s="18" t="s">
        <v>75</v>
      </c>
      <c r="C61" s="14">
        <v>13.4</v>
      </c>
      <c r="D61" s="14">
        <v>10.5</v>
      </c>
      <c r="E61" s="14">
        <v>11.5</v>
      </c>
      <c r="F61" s="14">
        <v>6.5</v>
      </c>
      <c r="G61" s="14">
        <v>9.0</v>
      </c>
      <c r="H61" s="14">
        <v>7.0</v>
      </c>
      <c r="I61" s="16">
        <f t="shared" si="1"/>
        <v>57.9</v>
      </c>
      <c r="J61" s="14" t="s">
        <v>76</v>
      </c>
      <c r="K61" s="14" t="s">
        <v>76</v>
      </c>
      <c r="L61" s="14" t="str">
        <f t="shared" si="2"/>
        <v>A</v>
      </c>
      <c r="M61" s="14" t="str">
        <f t="shared" si="3"/>
        <v>Absent</v>
      </c>
    </row>
    <row r="62">
      <c r="A62" s="14">
        <v>157.0</v>
      </c>
      <c r="B62" s="18" t="s">
        <v>77</v>
      </c>
      <c r="C62" s="14">
        <v>16.8</v>
      </c>
      <c r="D62" s="14">
        <v>10.0</v>
      </c>
      <c r="E62" s="14">
        <v>11.0</v>
      </c>
      <c r="F62" s="14">
        <v>10.5</v>
      </c>
      <c r="G62" s="14">
        <v>9.5</v>
      </c>
      <c r="H62" s="14">
        <v>7.0</v>
      </c>
      <c r="I62" s="16">
        <f t="shared" si="1"/>
        <v>64.8</v>
      </c>
      <c r="J62" s="14">
        <v>28.0</v>
      </c>
      <c r="K62" s="14">
        <v>70.0</v>
      </c>
      <c r="L62" s="14">
        <f t="shared" si="2"/>
        <v>162.8</v>
      </c>
      <c r="M62" s="14" t="str">
        <f t="shared" si="3"/>
        <v>Failed</v>
      </c>
    </row>
    <row r="63">
      <c r="A63" s="14">
        <v>158.0</v>
      </c>
      <c r="B63" s="18" t="s">
        <v>78</v>
      </c>
      <c r="C63" s="14" t="s">
        <v>20</v>
      </c>
      <c r="D63" s="14" t="s">
        <v>20</v>
      </c>
      <c r="E63" s="14" t="s">
        <v>20</v>
      </c>
      <c r="F63" s="14" t="s">
        <v>20</v>
      </c>
      <c r="G63" s="14" t="s">
        <v>20</v>
      </c>
      <c r="H63" s="14" t="s">
        <v>20</v>
      </c>
      <c r="I63" s="16" t="str">
        <f t="shared" si="1"/>
        <v>NE</v>
      </c>
      <c r="J63" s="14" t="s">
        <v>20</v>
      </c>
      <c r="K63" s="14" t="s">
        <v>20</v>
      </c>
      <c r="L63" s="14" t="str">
        <f t="shared" si="2"/>
        <v>NE</v>
      </c>
      <c r="M63" s="14" t="str">
        <f t="shared" si="3"/>
        <v>Not Eligible</v>
      </c>
    </row>
    <row r="64">
      <c r="A64" s="14">
        <v>159.0</v>
      </c>
      <c r="B64" s="18" t="s">
        <v>79</v>
      </c>
      <c r="C64" s="14">
        <v>10.0</v>
      </c>
      <c r="D64" s="14">
        <v>13.0</v>
      </c>
      <c r="E64" s="14">
        <v>13.5</v>
      </c>
      <c r="F64" s="14">
        <v>11.0</v>
      </c>
      <c r="G64" s="14">
        <v>11.0</v>
      </c>
      <c r="H64" s="14">
        <v>7.0</v>
      </c>
      <c r="I64" s="16">
        <f t="shared" si="1"/>
        <v>65.5</v>
      </c>
      <c r="J64" s="14">
        <v>66.0</v>
      </c>
      <c r="K64" s="14">
        <v>75.0</v>
      </c>
      <c r="L64" s="14">
        <f t="shared" si="2"/>
        <v>206.5</v>
      </c>
      <c r="M64" s="14" t="str">
        <f t="shared" si="3"/>
        <v>Passed</v>
      </c>
    </row>
    <row r="65">
      <c r="A65" s="14">
        <v>160.0</v>
      </c>
      <c r="B65" s="18" t="s">
        <v>80</v>
      </c>
      <c r="C65" s="14" t="s">
        <v>20</v>
      </c>
      <c r="D65" s="14" t="s">
        <v>20</v>
      </c>
      <c r="E65" s="14" t="s">
        <v>20</v>
      </c>
      <c r="F65" s="14" t="s">
        <v>20</v>
      </c>
      <c r="G65" s="14" t="s">
        <v>20</v>
      </c>
      <c r="H65" s="14" t="s">
        <v>20</v>
      </c>
      <c r="I65" s="16" t="str">
        <f t="shared" si="1"/>
        <v>NE</v>
      </c>
      <c r="J65" s="14" t="s">
        <v>20</v>
      </c>
      <c r="K65" s="14" t="s">
        <v>20</v>
      </c>
      <c r="L65" s="14" t="str">
        <f t="shared" si="2"/>
        <v>NE</v>
      </c>
      <c r="M65" s="14" t="str">
        <f t="shared" si="3"/>
        <v>Not Eligible</v>
      </c>
    </row>
    <row r="66">
      <c r="A66" s="14">
        <v>161.0</v>
      </c>
      <c r="B66" s="18" t="s">
        <v>81</v>
      </c>
      <c r="C66" s="14">
        <v>12.8</v>
      </c>
      <c r="D66" s="14">
        <v>13.0</v>
      </c>
      <c r="E66" s="14">
        <v>12.0</v>
      </c>
      <c r="F66" s="14">
        <v>10.5</v>
      </c>
      <c r="G66" s="14">
        <v>12.5</v>
      </c>
      <c r="H66" s="14">
        <v>7.0</v>
      </c>
      <c r="I66" s="16">
        <f t="shared" si="1"/>
        <v>67.8</v>
      </c>
      <c r="J66" s="14">
        <v>36.0</v>
      </c>
      <c r="K66" s="14">
        <v>75.0</v>
      </c>
      <c r="L66" s="14">
        <f t="shared" si="2"/>
        <v>178.8</v>
      </c>
      <c r="M66" s="14" t="str">
        <f t="shared" si="3"/>
        <v>Failed</v>
      </c>
    </row>
    <row r="67">
      <c r="A67" s="14">
        <v>162.0</v>
      </c>
      <c r="B67" s="18" t="s">
        <v>82</v>
      </c>
      <c r="C67" s="14" t="s">
        <v>20</v>
      </c>
      <c r="D67" s="14" t="s">
        <v>20</v>
      </c>
      <c r="E67" s="14" t="s">
        <v>20</v>
      </c>
      <c r="F67" s="14" t="s">
        <v>20</v>
      </c>
      <c r="G67" s="14" t="s">
        <v>20</v>
      </c>
      <c r="H67" s="14" t="s">
        <v>20</v>
      </c>
      <c r="I67" s="16" t="str">
        <f t="shared" si="1"/>
        <v>NE</v>
      </c>
      <c r="J67" s="14" t="s">
        <v>20</v>
      </c>
      <c r="K67" s="14" t="s">
        <v>20</v>
      </c>
      <c r="L67" s="14" t="str">
        <f t="shared" si="2"/>
        <v>NE</v>
      </c>
      <c r="M67" s="14" t="str">
        <f t="shared" si="3"/>
        <v>Not Eligible</v>
      </c>
    </row>
    <row r="68">
      <c r="A68" s="14">
        <v>163.0</v>
      </c>
      <c r="B68" s="18" t="s">
        <v>83</v>
      </c>
      <c r="C68" s="14">
        <v>16.6</v>
      </c>
      <c r="D68" s="14">
        <v>13.0</v>
      </c>
      <c r="E68" s="14">
        <v>13.5</v>
      </c>
      <c r="F68" s="14">
        <v>13.5</v>
      </c>
      <c r="G68" s="14">
        <v>14.5</v>
      </c>
      <c r="H68" s="14">
        <v>7.0</v>
      </c>
      <c r="I68" s="16">
        <f t="shared" si="1"/>
        <v>78.1</v>
      </c>
      <c r="J68" s="14">
        <v>60.0</v>
      </c>
      <c r="K68" s="14">
        <v>79.0</v>
      </c>
      <c r="L68" s="14">
        <f t="shared" si="2"/>
        <v>217.1</v>
      </c>
      <c r="M68" s="14" t="str">
        <f t="shared" si="3"/>
        <v>Passed</v>
      </c>
    </row>
    <row r="69">
      <c r="A69" s="14">
        <v>164.0</v>
      </c>
      <c r="B69" s="18" t="s">
        <v>84</v>
      </c>
      <c r="C69" s="14" t="s">
        <v>20</v>
      </c>
      <c r="D69" s="14" t="s">
        <v>20</v>
      </c>
      <c r="E69" s="14" t="s">
        <v>20</v>
      </c>
      <c r="F69" s="14" t="s">
        <v>20</v>
      </c>
      <c r="G69" s="14" t="s">
        <v>20</v>
      </c>
      <c r="H69" s="14" t="s">
        <v>20</v>
      </c>
      <c r="I69" s="16" t="str">
        <f t="shared" si="1"/>
        <v>NE</v>
      </c>
      <c r="J69" s="14" t="s">
        <v>20</v>
      </c>
      <c r="K69" s="14" t="s">
        <v>20</v>
      </c>
      <c r="L69" s="14" t="str">
        <f t="shared" si="2"/>
        <v>NE</v>
      </c>
      <c r="M69" s="14" t="str">
        <f t="shared" si="3"/>
        <v>Not Eligible</v>
      </c>
    </row>
    <row r="70">
      <c r="A70" s="14">
        <v>165.0</v>
      </c>
      <c r="B70" s="18" t="s">
        <v>85</v>
      </c>
      <c r="C70" s="14" t="s">
        <v>20</v>
      </c>
      <c r="D70" s="14" t="s">
        <v>20</v>
      </c>
      <c r="E70" s="14" t="s">
        <v>20</v>
      </c>
      <c r="F70" s="14" t="s">
        <v>20</v>
      </c>
      <c r="G70" s="14" t="s">
        <v>20</v>
      </c>
      <c r="H70" s="14" t="s">
        <v>20</v>
      </c>
      <c r="I70" s="16" t="str">
        <f t="shared" si="1"/>
        <v>NE</v>
      </c>
      <c r="J70" s="14" t="s">
        <v>20</v>
      </c>
      <c r="K70" s="14" t="s">
        <v>20</v>
      </c>
      <c r="L70" s="14" t="str">
        <f t="shared" si="2"/>
        <v>NE</v>
      </c>
      <c r="M70" s="14" t="str">
        <f t="shared" si="3"/>
        <v>Not Eligible</v>
      </c>
    </row>
    <row r="71">
      <c r="A71" s="14">
        <v>166.0</v>
      </c>
      <c r="B71" s="18" t="s">
        <v>86</v>
      </c>
      <c r="C71" s="14" t="s">
        <v>20</v>
      </c>
      <c r="D71" s="14" t="s">
        <v>20</v>
      </c>
      <c r="E71" s="14" t="s">
        <v>20</v>
      </c>
      <c r="F71" s="14" t="s">
        <v>20</v>
      </c>
      <c r="G71" s="14" t="s">
        <v>20</v>
      </c>
      <c r="H71" s="14" t="s">
        <v>20</v>
      </c>
      <c r="I71" s="16" t="str">
        <f t="shared" si="1"/>
        <v>NE</v>
      </c>
      <c r="J71" s="14" t="s">
        <v>20</v>
      </c>
      <c r="K71" s="14" t="s">
        <v>20</v>
      </c>
      <c r="L71" s="14" t="str">
        <f t="shared" si="2"/>
        <v>NE</v>
      </c>
      <c r="M71" s="14" t="str">
        <f t="shared" si="3"/>
        <v>Not Eligible</v>
      </c>
    </row>
    <row r="72">
      <c r="A72" s="14">
        <v>167.0</v>
      </c>
      <c r="B72" s="18" t="s">
        <v>87</v>
      </c>
      <c r="C72" s="14" t="s">
        <v>20</v>
      </c>
      <c r="D72" s="14" t="s">
        <v>20</v>
      </c>
      <c r="E72" s="14" t="s">
        <v>20</v>
      </c>
      <c r="F72" s="14" t="s">
        <v>20</v>
      </c>
      <c r="G72" s="14" t="s">
        <v>20</v>
      </c>
      <c r="H72" s="14" t="s">
        <v>20</v>
      </c>
      <c r="I72" s="16" t="str">
        <f t="shared" si="1"/>
        <v>NE</v>
      </c>
      <c r="J72" s="14" t="s">
        <v>20</v>
      </c>
      <c r="K72" s="14" t="s">
        <v>20</v>
      </c>
      <c r="L72" s="14" t="str">
        <f t="shared" si="2"/>
        <v>NE</v>
      </c>
      <c r="M72" s="14" t="str">
        <f t="shared" si="3"/>
        <v>Not Eligible</v>
      </c>
    </row>
    <row r="73">
      <c r="A73" s="14">
        <v>168.0</v>
      </c>
      <c r="B73" s="18" t="s">
        <v>88</v>
      </c>
      <c r="C73" s="14">
        <v>16.8</v>
      </c>
      <c r="D73" s="14">
        <v>14.5</v>
      </c>
      <c r="E73" s="14">
        <v>14.5</v>
      </c>
      <c r="F73" s="14">
        <v>13.0</v>
      </c>
      <c r="G73" s="14">
        <v>12.5</v>
      </c>
      <c r="H73" s="14">
        <v>8.0</v>
      </c>
      <c r="I73" s="16">
        <f t="shared" si="1"/>
        <v>79.3</v>
      </c>
      <c r="J73" s="14">
        <v>68.0</v>
      </c>
      <c r="K73" s="14">
        <v>71.0</v>
      </c>
      <c r="L73" s="14">
        <f t="shared" si="2"/>
        <v>218.3</v>
      </c>
      <c r="M73" s="14" t="str">
        <f t="shared" si="3"/>
        <v>Passed</v>
      </c>
    </row>
    <row r="74">
      <c r="A74" s="14">
        <v>169.0</v>
      </c>
      <c r="B74" s="18" t="s">
        <v>89</v>
      </c>
      <c r="C74" s="14" t="s">
        <v>20</v>
      </c>
      <c r="D74" s="14" t="s">
        <v>20</v>
      </c>
      <c r="E74" s="14" t="s">
        <v>20</v>
      </c>
      <c r="F74" s="14" t="s">
        <v>20</v>
      </c>
      <c r="G74" s="14" t="s">
        <v>20</v>
      </c>
      <c r="H74" s="14" t="s">
        <v>20</v>
      </c>
      <c r="I74" s="16" t="str">
        <f t="shared" si="1"/>
        <v>NE</v>
      </c>
      <c r="J74" s="14" t="s">
        <v>20</v>
      </c>
      <c r="K74" s="14" t="s">
        <v>20</v>
      </c>
      <c r="L74" s="14" t="str">
        <f t="shared" si="2"/>
        <v>NE</v>
      </c>
      <c r="M74" s="14" t="str">
        <f t="shared" si="3"/>
        <v>Not Eligible</v>
      </c>
    </row>
    <row r="75">
      <c r="A75" s="14">
        <v>170.0</v>
      </c>
      <c r="B75" s="18" t="s">
        <v>90</v>
      </c>
      <c r="C75" s="14" t="s">
        <v>20</v>
      </c>
      <c r="D75" s="14" t="s">
        <v>20</v>
      </c>
      <c r="E75" s="14" t="s">
        <v>20</v>
      </c>
      <c r="F75" s="14" t="s">
        <v>20</v>
      </c>
      <c r="G75" s="14" t="s">
        <v>20</v>
      </c>
      <c r="H75" s="14" t="s">
        <v>20</v>
      </c>
      <c r="I75" s="16" t="str">
        <f t="shared" si="1"/>
        <v>NE</v>
      </c>
      <c r="J75" s="14" t="s">
        <v>20</v>
      </c>
      <c r="K75" s="14" t="s">
        <v>20</v>
      </c>
      <c r="L75" s="14" t="str">
        <f t="shared" si="2"/>
        <v>NE</v>
      </c>
      <c r="M75" s="14" t="str">
        <f t="shared" si="3"/>
        <v>Not Eligible</v>
      </c>
    </row>
    <row r="76">
      <c r="A76" s="14">
        <v>171.0</v>
      </c>
      <c r="B76" s="18" t="s">
        <v>91</v>
      </c>
      <c r="C76" s="14" t="s">
        <v>20</v>
      </c>
      <c r="D76" s="14" t="s">
        <v>20</v>
      </c>
      <c r="E76" s="14" t="s">
        <v>20</v>
      </c>
      <c r="F76" s="14" t="s">
        <v>20</v>
      </c>
      <c r="G76" s="14" t="s">
        <v>20</v>
      </c>
      <c r="H76" s="14" t="s">
        <v>20</v>
      </c>
      <c r="I76" s="16" t="str">
        <f t="shared" si="1"/>
        <v>NE</v>
      </c>
      <c r="J76" s="14" t="s">
        <v>20</v>
      </c>
      <c r="K76" s="14" t="s">
        <v>20</v>
      </c>
      <c r="L76" s="14" t="str">
        <f t="shared" si="2"/>
        <v>NE</v>
      </c>
      <c r="M76" s="14" t="str">
        <f t="shared" si="3"/>
        <v>Not Eligible</v>
      </c>
    </row>
    <row r="77">
      <c r="A77" s="14">
        <v>172.0</v>
      </c>
      <c r="B77" s="18" t="s">
        <v>92</v>
      </c>
      <c r="C77" s="14" t="s">
        <v>20</v>
      </c>
      <c r="D77" s="14" t="s">
        <v>20</v>
      </c>
      <c r="E77" s="14" t="s">
        <v>20</v>
      </c>
      <c r="F77" s="14" t="s">
        <v>20</v>
      </c>
      <c r="G77" s="14" t="s">
        <v>20</v>
      </c>
      <c r="H77" s="14" t="s">
        <v>20</v>
      </c>
      <c r="I77" s="16" t="str">
        <f t="shared" si="1"/>
        <v>NE</v>
      </c>
      <c r="J77" s="14" t="s">
        <v>20</v>
      </c>
      <c r="K77" s="14" t="s">
        <v>20</v>
      </c>
      <c r="L77" s="14" t="str">
        <f t="shared" si="2"/>
        <v>NE</v>
      </c>
      <c r="M77" s="14" t="str">
        <f t="shared" si="3"/>
        <v>Not Eligible</v>
      </c>
    </row>
    <row r="78">
      <c r="A78" s="14">
        <v>173.0</v>
      </c>
      <c r="B78" s="18" t="s">
        <v>93</v>
      </c>
      <c r="C78" s="14">
        <v>18.0</v>
      </c>
      <c r="D78" s="14">
        <v>7.5</v>
      </c>
      <c r="E78" s="14">
        <v>6.5</v>
      </c>
      <c r="F78" s="14">
        <v>6.0</v>
      </c>
      <c r="G78" s="14">
        <v>5.0</v>
      </c>
      <c r="H78" s="14">
        <v>7.0</v>
      </c>
      <c r="I78" s="16">
        <f t="shared" si="1"/>
        <v>50</v>
      </c>
      <c r="J78" s="14">
        <v>74.0</v>
      </c>
      <c r="K78" s="14">
        <v>76.0</v>
      </c>
      <c r="L78" s="14">
        <f t="shared" si="2"/>
        <v>200</v>
      </c>
      <c r="M78" s="14" t="str">
        <f t="shared" si="3"/>
        <v>Failed</v>
      </c>
    </row>
    <row r="79">
      <c r="A79" s="14">
        <v>174.0</v>
      </c>
      <c r="B79" s="18" t="s">
        <v>94</v>
      </c>
      <c r="C79" s="14">
        <v>16.0</v>
      </c>
      <c r="D79" s="14">
        <v>8.5</v>
      </c>
      <c r="E79" s="14">
        <v>10.0</v>
      </c>
      <c r="F79" s="14">
        <v>7.0</v>
      </c>
      <c r="G79" s="14">
        <v>7.5</v>
      </c>
      <c r="H79" s="14">
        <v>8.0</v>
      </c>
      <c r="I79" s="16">
        <f t="shared" si="1"/>
        <v>57</v>
      </c>
      <c r="J79" s="14">
        <v>70.0</v>
      </c>
      <c r="K79" s="14">
        <v>71.0</v>
      </c>
      <c r="L79" s="14">
        <f t="shared" si="2"/>
        <v>198</v>
      </c>
      <c r="M79" s="14" t="str">
        <f t="shared" si="3"/>
        <v>Failed</v>
      </c>
    </row>
    <row r="80">
      <c r="A80" s="14">
        <v>175.0</v>
      </c>
      <c r="B80" s="18" t="s">
        <v>95</v>
      </c>
      <c r="C80" s="14">
        <v>14.4</v>
      </c>
      <c r="D80" s="14">
        <v>11.0</v>
      </c>
      <c r="E80" s="14">
        <v>11.5</v>
      </c>
      <c r="F80" s="14">
        <v>10.0</v>
      </c>
      <c r="G80" s="14">
        <v>9.5</v>
      </c>
      <c r="H80" s="14">
        <v>6.0</v>
      </c>
      <c r="I80" s="16">
        <f t="shared" si="1"/>
        <v>62.4</v>
      </c>
      <c r="J80" s="14">
        <v>62.0</v>
      </c>
      <c r="K80" s="14">
        <v>80.0</v>
      </c>
      <c r="L80" s="14">
        <f t="shared" si="2"/>
        <v>204.4</v>
      </c>
      <c r="M80" s="14" t="str">
        <f t="shared" si="3"/>
        <v>Passed</v>
      </c>
    </row>
    <row r="81">
      <c r="A81" s="14">
        <v>176.0</v>
      </c>
      <c r="B81" s="18" t="s">
        <v>96</v>
      </c>
      <c r="C81" s="14" t="s">
        <v>20</v>
      </c>
      <c r="D81" s="14" t="s">
        <v>20</v>
      </c>
      <c r="E81" s="14" t="s">
        <v>20</v>
      </c>
      <c r="F81" s="14" t="s">
        <v>20</v>
      </c>
      <c r="G81" s="14" t="s">
        <v>20</v>
      </c>
      <c r="H81" s="14" t="s">
        <v>20</v>
      </c>
      <c r="I81" s="16" t="str">
        <f t="shared" si="1"/>
        <v>NE</v>
      </c>
      <c r="J81" s="14" t="s">
        <v>20</v>
      </c>
      <c r="K81" s="14" t="s">
        <v>20</v>
      </c>
      <c r="L81" s="14" t="str">
        <f t="shared" si="2"/>
        <v>NE</v>
      </c>
      <c r="M81" s="14" t="str">
        <f t="shared" si="3"/>
        <v>Not Eligible</v>
      </c>
    </row>
    <row r="82">
      <c r="A82" s="14">
        <v>177.0</v>
      </c>
      <c r="B82" s="18" t="s">
        <v>97</v>
      </c>
      <c r="C82" s="14" t="s">
        <v>20</v>
      </c>
      <c r="D82" s="14" t="s">
        <v>20</v>
      </c>
      <c r="E82" s="14" t="s">
        <v>20</v>
      </c>
      <c r="F82" s="14" t="s">
        <v>20</v>
      </c>
      <c r="G82" s="14" t="s">
        <v>20</v>
      </c>
      <c r="H82" s="14" t="s">
        <v>20</v>
      </c>
      <c r="I82" s="16" t="str">
        <f t="shared" si="1"/>
        <v>NE</v>
      </c>
      <c r="J82" s="14" t="s">
        <v>20</v>
      </c>
      <c r="K82" s="14" t="s">
        <v>20</v>
      </c>
      <c r="L82" s="14" t="str">
        <f t="shared" si="2"/>
        <v>NE</v>
      </c>
      <c r="M82" s="14" t="str">
        <f t="shared" si="3"/>
        <v>Not Eligible</v>
      </c>
    </row>
    <row r="83">
      <c r="A83" s="14">
        <v>178.0</v>
      </c>
      <c r="B83" s="18" t="s">
        <v>98</v>
      </c>
      <c r="C83" s="14" t="s">
        <v>20</v>
      </c>
      <c r="D83" s="14" t="s">
        <v>20</v>
      </c>
      <c r="E83" s="14" t="s">
        <v>20</v>
      </c>
      <c r="F83" s="14" t="s">
        <v>20</v>
      </c>
      <c r="G83" s="14" t="s">
        <v>20</v>
      </c>
      <c r="H83" s="14" t="s">
        <v>20</v>
      </c>
      <c r="I83" s="16" t="str">
        <f t="shared" si="1"/>
        <v>NE</v>
      </c>
      <c r="J83" s="14" t="s">
        <v>20</v>
      </c>
      <c r="K83" s="14" t="s">
        <v>20</v>
      </c>
      <c r="L83" s="14" t="str">
        <f t="shared" si="2"/>
        <v>NE</v>
      </c>
      <c r="M83" s="14" t="str">
        <f t="shared" si="3"/>
        <v>Not Eligible</v>
      </c>
    </row>
    <row r="84">
      <c r="A84" s="14">
        <v>179.0</v>
      </c>
      <c r="B84" s="18" t="s">
        <v>99</v>
      </c>
      <c r="C84" s="14">
        <v>18.0</v>
      </c>
      <c r="D84" s="14">
        <v>12.0</v>
      </c>
      <c r="E84" s="14">
        <v>11.0</v>
      </c>
      <c r="F84" s="14">
        <v>11.0</v>
      </c>
      <c r="G84" s="14">
        <v>11.0</v>
      </c>
      <c r="H84" s="14">
        <v>8.0</v>
      </c>
      <c r="I84" s="16">
        <f t="shared" si="1"/>
        <v>71</v>
      </c>
      <c r="J84" s="14">
        <v>68.0</v>
      </c>
      <c r="K84" s="14">
        <v>87.0</v>
      </c>
      <c r="L84" s="14">
        <f t="shared" si="2"/>
        <v>226</v>
      </c>
      <c r="M84" s="14" t="str">
        <f t="shared" si="3"/>
        <v>Passed</v>
      </c>
    </row>
    <row r="85">
      <c r="A85" s="14">
        <v>180.0</v>
      </c>
      <c r="B85" s="18" t="s">
        <v>100</v>
      </c>
      <c r="C85" s="14" t="s">
        <v>20</v>
      </c>
      <c r="D85" s="14" t="s">
        <v>20</v>
      </c>
      <c r="E85" s="14" t="s">
        <v>20</v>
      </c>
      <c r="F85" s="14" t="s">
        <v>20</v>
      </c>
      <c r="G85" s="14" t="s">
        <v>20</v>
      </c>
      <c r="H85" s="14" t="s">
        <v>20</v>
      </c>
      <c r="I85" s="16" t="str">
        <f t="shared" si="1"/>
        <v>NE</v>
      </c>
      <c r="J85" s="14" t="s">
        <v>20</v>
      </c>
      <c r="K85" s="14" t="s">
        <v>20</v>
      </c>
      <c r="L85" s="14" t="str">
        <f t="shared" si="2"/>
        <v>NE</v>
      </c>
      <c r="M85" s="14" t="str">
        <f t="shared" si="3"/>
        <v>Not Eligible</v>
      </c>
    </row>
    <row r="86">
      <c r="A86" s="14">
        <v>181.0</v>
      </c>
      <c r="B86" s="18" t="s">
        <v>101</v>
      </c>
      <c r="C86" s="14">
        <v>16.2</v>
      </c>
      <c r="D86" s="14">
        <v>10.5</v>
      </c>
      <c r="E86" s="14">
        <v>12.5</v>
      </c>
      <c r="F86" s="14">
        <v>12.0</v>
      </c>
      <c r="G86" s="14">
        <v>12.0</v>
      </c>
      <c r="H86" s="14">
        <v>9.0</v>
      </c>
      <c r="I86" s="16">
        <f t="shared" si="1"/>
        <v>72.2</v>
      </c>
      <c r="J86" s="14">
        <v>72.0</v>
      </c>
      <c r="K86" s="14">
        <v>87.0</v>
      </c>
      <c r="L86" s="14">
        <f t="shared" si="2"/>
        <v>231.2</v>
      </c>
      <c r="M86" s="14" t="str">
        <f t="shared" si="3"/>
        <v>Passed</v>
      </c>
    </row>
    <row r="87">
      <c r="A87" s="14">
        <v>182.0</v>
      </c>
      <c r="B87" s="18" t="s">
        <v>102</v>
      </c>
      <c r="C87" s="14" t="s">
        <v>20</v>
      </c>
      <c r="D87" s="14" t="s">
        <v>20</v>
      </c>
      <c r="E87" s="14" t="s">
        <v>20</v>
      </c>
      <c r="F87" s="14" t="s">
        <v>20</v>
      </c>
      <c r="G87" s="14" t="s">
        <v>20</v>
      </c>
      <c r="H87" s="14" t="s">
        <v>20</v>
      </c>
      <c r="I87" s="16" t="str">
        <f t="shared" si="1"/>
        <v>NE</v>
      </c>
      <c r="J87" s="14" t="s">
        <v>20</v>
      </c>
      <c r="K87" s="14" t="s">
        <v>20</v>
      </c>
      <c r="L87" s="14" t="str">
        <f t="shared" si="2"/>
        <v>NE</v>
      </c>
      <c r="M87" s="14" t="str">
        <f t="shared" si="3"/>
        <v>Not Eligible</v>
      </c>
    </row>
    <row r="88">
      <c r="A88" s="14">
        <v>183.0</v>
      </c>
      <c r="B88" s="18" t="s">
        <v>103</v>
      </c>
      <c r="C88" s="14">
        <v>16.6</v>
      </c>
      <c r="D88" s="14">
        <v>9.5</v>
      </c>
      <c r="E88" s="14">
        <v>8.5</v>
      </c>
      <c r="F88" s="14">
        <v>8.5</v>
      </c>
      <c r="G88" s="14">
        <v>11.0</v>
      </c>
      <c r="H88" s="14">
        <v>8.0</v>
      </c>
      <c r="I88" s="16">
        <f t="shared" si="1"/>
        <v>62.1</v>
      </c>
      <c r="J88" s="14">
        <v>70.0</v>
      </c>
      <c r="K88" s="14">
        <v>81.0</v>
      </c>
      <c r="L88" s="14">
        <f t="shared" si="2"/>
        <v>213.1</v>
      </c>
      <c r="M88" s="14" t="str">
        <f t="shared" si="3"/>
        <v>Passed</v>
      </c>
    </row>
    <row r="89">
      <c r="A89" s="14">
        <v>184.0</v>
      </c>
      <c r="B89" s="18" t="s">
        <v>104</v>
      </c>
      <c r="C89" s="14" t="s">
        <v>20</v>
      </c>
      <c r="D89" s="14" t="s">
        <v>20</v>
      </c>
      <c r="E89" s="14" t="s">
        <v>20</v>
      </c>
      <c r="F89" s="14" t="s">
        <v>20</v>
      </c>
      <c r="G89" s="14" t="s">
        <v>20</v>
      </c>
      <c r="H89" s="14" t="s">
        <v>20</v>
      </c>
      <c r="I89" s="16" t="str">
        <f t="shared" si="1"/>
        <v>NE</v>
      </c>
      <c r="J89" s="14" t="s">
        <v>20</v>
      </c>
      <c r="K89" s="14" t="s">
        <v>20</v>
      </c>
      <c r="L89" s="14" t="str">
        <f t="shared" si="2"/>
        <v>NE</v>
      </c>
      <c r="M89" s="14" t="str">
        <f t="shared" si="3"/>
        <v>Not Eligible</v>
      </c>
    </row>
    <row r="90">
      <c r="A90" s="14">
        <v>185.0</v>
      </c>
      <c r="B90" s="18" t="s">
        <v>105</v>
      </c>
      <c r="C90" s="14">
        <v>19.0</v>
      </c>
      <c r="D90" s="14">
        <v>9.5</v>
      </c>
      <c r="E90" s="14">
        <v>14.5</v>
      </c>
      <c r="F90" s="14">
        <v>14.0</v>
      </c>
      <c r="G90" s="14">
        <v>13.0</v>
      </c>
      <c r="H90" s="14">
        <v>8.0</v>
      </c>
      <c r="I90" s="16">
        <f t="shared" si="1"/>
        <v>78</v>
      </c>
      <c r="J90" s="14">
        <v>74.0</v>
      </c>
      <c r="K90" s="14">
        <v>87.0</v>
      </c>
      <c r="L90" s="14">
        <f t="shared" si="2"/>
        <v>239</v>
      </c>
      <c r="M90" s="14" t="str">
        <f t="shared" si="3"/>
        <v>Passed</v>
      </c>
    </row>
    <row r="91">
      <c r="A91" s="14">
        <v>186.0</v>
      </c>
      <c r="B91" s="18" t="s">
        <v>106</v>
      </c>
      <c r="C91" s="14">
        <v>15.4</v>
      </c>
      <c r="D91" s="14">
        <v>12.5</v>
      </c>
      <c r="E91" s="14">
        <v>13.0</v>
      </c>
      <c r="F91" s="14">
        <v>11.0</v>
      </c>
      <c r="G91" s="14">
        <v>13.5</v>
      </c>
      <c r="H91" s="14">
        <v>9.0</v>
      </c>
      <c r="I91" s="16">
        <f t="shared" si="1"/>
        <v>74.4</v>
      </c>
      <c r="J91" s="14">
        <v>60.0</v>
      </c>
      <c r="K91" s="14">
        <v>76.0</v>
      </c>
      <c r="L91" s="14">
        <f t="shared" si="2"/>
        <v>210.4</v>
      </c>
      <c r="M91" s="14" t="str">
        <f t="shared" si="3"/>
        <v>Passed</v>
      </c>
    </row>
    <row r="92">
      <c r="A92" s="14">
        <v>187.0</v>
      </c>
      <c r="B92" s="18" t="s">
        <v>107</v>
      </c>
      <c r="C92" s="14">
        <v>17.0</v>
      </c>
      <c r="D92" s="14">
        <v>12.5</v>
      </c>
      <c r="E92" s="14">
        <v>14.0</v>
      </c>
      <c r="F92" s="14">
        <v>13.5</v>
      </c>
      <c r="G92" s="14">
        <v>14.5</v>
      </c>
      <c r="H92" s="14">
        <v>8.0</v>
      </c>
      <c r="I92" s="16">
        <f t="shared" si="1"/>
        <v>79.5</v>
      </c>
      <c r="J92" s="14">
        <v>68.0</v>
      </c>
      <c r="K92" s="14">
        <v>82.0</v>
      </c>
      <c r="L92" s="14">
        <f t="shared" si="2"/>
        <v>229.5</v>
      </c>
      <c r="M92" s="14" t="str">
        <f t="shared" si="3"/>
        <v>Passed</v>
      </c>
    </row>
    <row r="93">
      <c r="A93" s="14">
        <v>188.0</v>
      </c>
      <c r="B93" s="18" t="s">
        <v>108</v>
      </c>
      <c r="C93" s="14" t="s">
        <v>20</v>
      </c>
      <c r="D93" s="14" t="s">
        <v>20</v>
      </c>
      <c r="E93" s="14" t="s">
        <v>20</v>
      </c>
      <c r="F93" s="14" t="s">
        <v>20</v>
      </c>
      <c r="G93" s="14" t="s">
        <v>20</v>
      </c>
      <c r="H93" s="14" t="s">
        <v>20</v>
      </c>
      <c r="I93" s="16" t="str">
        <f t="shared" si="1"/>
        <v>NE</v>
      </c>
      <c r="J93" s="14" t="s">
        <v>20</v>
      </c>
      <c r="K93" s="14" t="s">
        <v>20</v>
      </c>
      <c r="L93" s="14" t="str">
        <f t="shared" si="2"/>
        <v>NE</v>
      </c>
      <c r="M93" s="14" t="str">
        <f t="shared" si="3"/>
        <v>Not Eligible</v>
      </c>
    </row>
    <row r="94">
      <c r="A94" s="14">
        <v>189.0</v>
      </c>
      <c r="B94" s="18" t="s">
        <v>109</v>
      </c>
      <c r="C94" s="14">
        <v>11.0</v>
      </c>
      <c r="D94" s="14">
        <v>10.0</v>
      </c>
      <c r="E94" s="14">
        <v>7.5</v>
      </c>
      <c r="F94" s="14">
        <v>10.5</v>
      </c>
      <c r="G94" s="14">
        <v>11.5</v>
      </c>
      <c r="H94" s="14">
        <v>7.0</v>
      </c>
      <c r="I94" s="16">
        <f t="shared" si="1"/>
        <v>57.5</v>
      </c>
      <c r="J94" s="14">
        <v>38.0</v>
      </c>
      <c r="K94" s="14">
        <v>54.0</v>
      </c>
      <c r="L94" s="14">
        <f t="shared" si="2"/>
        <v>149.5</v>
      </c>
      <c r="M94" s="14" t="str">
        <f t="shared" si="3"/>
        <v>Failed</v>
      </c>
    </row>
    <row r="95">
      <c r="A95" s="14">
        <v>190.0</v>
      </c>
      <c r="B95" s="18" t="s">
        <v>110</v>
      </c>
      <c r="C95" s="14" t="s">
        <v>20</v>
      </c>
      <c r="D95" s="14" t="s">
        <v>20</v>
      </c>
      <c r="E95" s="14" t="s">
        <v>20</v>
      </c>
      <c r="F95" s="14" t="s">
        <v>20</v>
      </c>
      <c r="G95" s="14" t="s">
        <v>20</v>
      </c>
      <c r="H95" s="14" t="s">
        <v>20</v>
      </c>
      <c r="I95" s="16" t="str">
        <f t="shared" si="1"/>
        <v>NE</v>
      </c>
      <c r="J95" s="14" t="s">
        <v>20</v>
      </c>
      <c r="K95" s="14" t="s">
        <v>20</v>
      </c>
      <c r="L95" s="14" t="str">
        <f t="shared" si="2"/>
        <v>NE</v>
      </c>
      <c r="M95" s="14" t="str">
        <f t="shared" si="3"/>
        <v>Not Eligible</v>
      </c>
    </row>
    <row r="96">
      <c r="A96" s="14">
        <v>191.0</v>
      </c>
      <c r="B96" s="18" t="s">
        <v>111</v>
      </c>
      <c r="C96" s="14">
        <v>12.4</v>
      </c>
      <c r="D96" s="14">
        <v>10.0</v>
      </c>
      <c r="E96" s="14">
        <v>9.0</v>
      </c>
      <c r="F96" s="14">
        <v>7.5</v>
      </c>
      <c r="G96" s="14">
        <v>11.0</v>
      </c>
      <c r="H96" s="14">
        <v>7.0</v>
      </c>
      <c r="I96" s="16">
        <f t="shared" si="1"/>
        <v>56.9</v>
      </c>
      <c r="J96" s="14">
        <v>44.0</v>
      </c>
      <c r="K96" s="14">
        <v>79.0</v>
      </c>
      <c r="L96" s="14">
        <f t="shared" si="2"/>
        <v>179.9</v>
      </c>
      <c r="M96" s="14" t="str">
        <f t="shared" si="3"/>
        <v>Failed</v>
      </c>
    </row>
    <row r="97">
      <c r="A97" s="14">
        <v>192.0</v>
      </c>
      <c r="B97" s="18" t="s">
        <v>112</v>
      </c>
      <c r="C97" s="14">
        <v>15.6</v>
      </c>
      <c r="D97" s="14">
        <v>10.0</v>
      </c>
      <c r="E97" s="14">
        <v>14.5</v>
      </c>
      <c r="F97" s="14">
        <v>9.5</v>
      </c>
      <c r="G97" s="14">
        <v>9.0</v>
      </c>
      <c r="H97" s="14">
        <v>8.0</v>
      </c>
      <c r="I97" s="16">
        <f t="shared" si="1"/>
        <v>66.6</v>
      </c>
      <c r="J97" s="14">
        <v>42.0</v>
      </c>
      <c r="K97" s="14">
        <v>73.0</v>
      </c>
      <c r="L97" s="14">
        <f t="shared" si="2"/>
        <v>181.6</v>
      </c>
      <c r="M97" s="14" t="str">
        <f t="shared" si="3"/>
        <v>Failed</v>
      </c>
    </row>
    <row r="98">
      <c r="A98" s="14">
        <v>193.0</v>
      </c>
      <c r="B98" s="18" t="s">
        <v>113</v>
      </c>
      <c r="C98" s="14" t="s">
        <v>20</v>
      </c>
      <c r="D98" s="14" t="s">
        <v>20</v>
      </c>
      <c r="E98" s="14" t="s">
        <v>20</v>
      </c>
      <c r="F98" s="14" t="s">
        <v>20</v>
      </c>
      <c r="G98" s="14" t="s">
        <v>20</v>
      </c>
      <c r="H98" s="14" t="s">
        <v>20</v>
      </c>
      <c r="I98" s="16" t="str">
        <f t="shared" si="1"/>
        <v>NE</v>
      </c>
      <c r="J98" s="14" t="s">
        <v>20</v>
      </c>
      <c r="K98" s="14" t="s">
        <v>20</v>
      </c>
      <c r="L98" s="14" t="str">
        <f t="shared" si="2"/>
        <v>NE</v>
      </c>
      <c r="M98" s="14" t="str">
        <f t="shared" si="3"/>
        <v>Not Eligible</v>
      </c>
    </row>
    <row r="99">
      <c r="A99" s="14">
        <v>194.0</v>
      </c>
      <c r="B99" s="18" t="s">
        <v>114</v>
      </c>
      <c r="C99" s="14">
        <v>14.4</v>
      </c>
      <c r="D99" s="14">
        <v>11.5</v>
      </c>
      <c r="E99" s="14">
        <v>9.5</v>
      </c>
      <c r="F99" s="14">
        <v>11.0</v>
      </c>
      <c r="G99" s="14">
        <v>13.5</v>
      </c>
      <c r="H99" s="14">
        <v>8.0</v>
      </c>
      <c r="I99" s="16">
        <f t="shared" si="1"/>
        <v>67.9</v>
      </c>
      <c r="J99" s="14">
        <v>60.0</v>
      </c>
      <c r="K99" s="14">
        <v>79.0</v>
      </c>
      <c r="L99" s="14">
        <f t="shared" si="2"/>
        <v>206.9</v>
      </c>
      <c r="M99" s="14" t="str">
        <f t="shared" si="3"/>
        <v>Passed</v>
      </c>
    </row>
    <row r="100">
      <c r="A100" s="14">
        <v>195.0</v>
      </c>
      <c r="B100" s="18" t="s">
        <v>115</v>
      </c>
      <c r="C100" s="14" t="s">
        <v>20</v>
      </c>
      <c r="D100" s="14" t="s">
        <v>20</v>
      </c>
      <c r="E100" s="14" t="s">
        <v>20</v>
      </c>
      <c r="F100" s="14" t="s">
        <v>20</v>
      </c>
      <c r="G100" s="14" t="s">
        <v>20</v>
      </c>
      <c r="H100" s="14" t="s">
        <v>20</v>
      </c>
      <c r="I100" s="16" t="str">
        <f t="shared" si="1"/>
        <v>NE</v>
      </c>
      <c r="J100" s="14" t="s">
        <v>20</v>
      </c>
      <c r="K100" s="14" t="s">
        <v>20</v>
      </c>
      <c r="L100" s="14" t="str">
        <f t="shared" si="2"/>
        <v>NE</v>
      </c>
      <c r="M100" s="14" t="str">
        <f t="shared" si="3"/>
        <v>Not Eligible</v>
      </c>
    </row>
    <row r="101">
      <c r="A101" s="14">
        <v>196.0</v>
      </c>
      <c r="B101" s="18" t="s">
        <v>116</v>
      </c>
      <c r="C101" s="14" t="s">
        <v>20</v>
      </c>
      <c r="D101" s="14" t="s">
        <v>20</v>
      </c>
      <c r="E101" s="14" t="s">
        <v>20</v>
      </c>
      <c r="F101" s="14" t="s">
        <v>20</v>
      </c>
      <c r="G101" s="14" t="s">
        <v>20</v>
      </c>
      <c r="H101" s="14" t="s">
        <v>20</v>
      </c>
      <c r="I101" s="16" t="str">
        <f t="shared" si="1"/>
        <v>NE</v>
      </c>
      <c r="J101" s="14" t="s">
        <v>20</v>
      </c>
      <c r="K101" s="14" t="s">
        <v>20</v>
      </c>
      <c r="L101" s="14" t="str">
        <f t="shared" si="2"/>
        <v>NE</v>
      </c>
      <c r="M101" s="14" t="str">
        <f t="shared" si="3"/>
        <v>Not Eligible</v>
      </c>
    </row>
    <row r="102">
      <c r="A102" s="14">
        <v>197.0</v>
      </c>
      <c r="B102" s="18" t="s">
        <v>117</v>
      </c>
      <c r="C102" s="14">
        <v>15.8</v>
      </c>
      <c r="D102" s="14">
        <v>12.0</v>
      </c>
      <c r="E102" s="14">
        <v>11.5</v>
      </c>
      <c r="F102" s="14">
        <v>13.0</v>
      </c>
      <c r="G102" s="14">
        <v>14.0</v>
      </c>
      <c r="H102" s="14">
        <v>7.0</v>
      </c>
      <c r="I102" s="16">
        <f t="shared" si="1"/>
        <v>73.3</v>
      </c>
      <c r="J102" s="14">
        <v>78.0</v>
      </c>
      <c r="K102" s="14">
        <v>86.0</v>
      </c>
      <c r="L102" s="14">
        <f t="shared" si="2"/>
        <v>237.3</v>
      </c>
      <c r="M102" s="14" t="str">
        <f t="shared" si="3"/>
        <v>Passed</v>
      </c>
    </row>
    <row r="103">
      <c r="A103" s="14">
        <v>198.0</v>
      </c>
      <c r="B103" s="18" t="s">
        <v>118</v>
      </c>
      <c r="C103" s="14">
        <v>16.2</v>
      </c>
      <c r="D103" s="14">
        <v>12.5</v>
      </c>
      <c r="E103" s="14">
        <v>9.0</v>
      </c>
      <c r="F103" s="14">
        <v>11.0</v>
      </c>
      <c r="G103" s="14">
        <v>14.0</v>
      </c>
      <c r="H103" s="14">
        <v>8.0</v>
      </c>
      <c r="I103" s="16">
        <f t="shared" si="1"/>
        <v>70.7</v>
      </c>
      <c r="J103" s="14">
        <v>60.0</v>
      </c>
      <c r="K103" s="14">
        <v>83.0</v>
      </c>
      <c r="L103" s="14">
        <f t="shared" si="2"/>
        <v>213.7</v>
      </c>
      <c r="M103" s="14" t="str">
        <f t="shared" si="3"/>
        <v>Passed</v>
      </c>
    </row>
    <row r="104">
      <c r="A104" s="14">
        <v>199.0</v>
      </c>
      <c r="B104" s="18" t="s">
        <v>119</v>
      </c>
      <c r="C104" s="14">
        <v>14.2</v>
      </c>
      <c r="D104" s="14">
        <v>13.0</v>
      </c>
      <c r="E104" s="14">
        <v>12.0</v>
      </c>
      <c r="F104" s="14">
        <v>12.0</v>
      </c>
      <c r="G104" s="14">
        <v>13.0</v>
      </c>
      <c r="H104" s="14">
        <v>8.0</v>
      </c>
      <c r="I104" s="16">
        <f t="shared" si="1"/>
        <v>72.2</v>
      </c>
      <c r="J104" s="14">
        <v>66.0</v>
      </c>
      <c r="K104" s="14">
        <v>81.0</v>
      </c>
      <c r="L104" s="14">
        <f t="shared" si="2"/>
        <v>219.2</v>
      </c>
      <c r="M104" s="14" t="str">
        <f t="shared" si="3"/>
        <v>Passed</v>
      </c>
    </row>
    <row r="105">
      <c r="A105" s="14">
        <v>200.0</v>
      </c>
      <c r="B105" s="18" t="s">
        <v>120</v>
      </c>
      <c r="C105" s="14" t="s">
        <v>20</v>
      </c>
      <c r="D105" s="14" t="s">
        <v>20</v>
      </c>
      <c r="E105" s="14" t="s">
        <v>20</v>
      </c>
      <c r="F105" s="14" t="s">
        <v>20</v>
      </c>
      <c r="G105" s="14" t="s">
        <v>20</v>
      </c>
      <c r="H105" s="14" t="s">
        <v>20</v>
      </c>
      <c r="I105" s="16" t="str">
        <f t="shared" si="1"/>
        <v>NE</v>
      </c>
      <c r="J105" s="14" t="s">
        <v>20</v>
      </c>
      <c r="K105" s="14" t="s">
        <v>20</v>
      </c>
      <c r="L105" s="14" t="str">
        <f t="shared" si="2"/>
        <v>NE</v>
      </c>
      <c r="M105" s="14" t="str">
        <f t="shared" si="3"/>
        <v>Not Eligible</v>
      </c>
    </row>
    <row r="106">
      <c r="A106" s="14">
        <v>201.0</v>
      </c>
      <c r="B106" s="18" t="s">
        <v>121</v>
      </c>
      <c r="C106" s="14">
        <v>15.8</v>
      </c>
      <c r="D106" s="14">
        <v>10.0</v>
      </c>
      <c r="E106" s="14">
        <v>9.5</v>
      </c>
      <c r="F106" s="14">
        <v>13.0</v>
      </c>
      <c r="G106" s="14">
        <v>13.0</v>
      </c>
      <c r="H106" s="14">
        <v>7.0</v>
      </c>
      <c r="I106" s="16">
        <f t="shared" si="1"/>
        <v>68.3</v>
      </c>
      <c r="J106" s="14">
        <v>66.0</v>
      </c>
      <c r="K106" s="14">
        <v>85.0</v>
      </c>
      <c r="L106" s="14">
        <f t="shared" si="2"/>
        <v>219.3</v>
      </c>
      <c r="M106" s="14" t="str">
        <f t="shared" si="3"/>
        <v>Passed</v>
      </c>
    </row>
    <row r="107">
      <c r="A107" s="14">
        <v>202.0</v>
      </c>
      <c r="B107" s="18" t="s">
        <v>122</v>
      </c>
      <c r="C107" s="14">
        <v>12.8</v>
      </c>
      <c r="D107" s="14">
        <v>13.0</v>
      </c>
      <c r="E107" s="14">
        <v>12.5</v>
      </c>
      <c r="F107" s="14">
        <v>13.0</v>
      </c>
      <c r="G107" s="14">
        <v>14.5</v>
      </c>
      <c r="H107" s="14">
        <v>8.0</v>
      </c>
      <c r="I107" s="16">
        <f t="shared" si="1"/>
        <v>73.8</v>
      </c>
      <c r="J107" s="14">
        <v>80.0</v>
      </c>
      <c r="K107" s="14">
        <v>85.0</v>
      </c>
      <c r="L107" s="14">
        <f t="shared" si="2"/>
        <v>238.8</v>
      </c>
      <c r="M107" s="14" t="str">
        <f t="shared" si="3"/>
        <v>Passed</v>
      </c>
    </row>
    <row r="108">
      <c r="A108" s="14">
        <v>203.0</v>
      </c>
      <c r="B108" s="18" t="s">
        <v>123</v>
      </c>
      <c r="C108" s="14">
        <v>14.2</v>
      </c>
      <c r="D108" s="14">
        <v>13.0</v>
      </c>
      <c r="E108" s="14">
        <v>12.5</v>
      </c>
      <c r="F108" s="14">
        <v>11.0</v>
      </c>
      <c r="G108" s="14">
        <v>14.5</v>
      </c>
      <c r="H108" s="14">
        <v>8.0</v>
      </c>
      <c r="I108" s="16">
        <f t="shared" si="1"/>
        <v>73.2</v>
      </c>
      <c r="J108" s="14">
        <v>80.0</v>
      </c>
      <c r="K108" s="14">
        <v>83.0</v>
      </c>
      <c r="L108" s="14">
        <f t="shared" si="2"/>
        <v>236.2</v>
      </c>
      <c r="M108" s="14" t="str">
        <f t="shared" si="3"/>
        <v>Passed</v>
      </c>
    </row>
    <row r="109">
      <c r="A109" s="14">
        <v>204.0</v>
      </c>
      <c r="B109" s="18" t="s">
        <v>124</v>
      </c>
      <c r="C109" s="14">
        <v>15.4</v>
      </c>
      <c r="D109" s="14">
        <v>11.0</v>
      </c>
      <c r="E109" s="14">
        <v>10.0</v>
      </c>
      <c r="F109" s="14">
        <v>10.0</v>
      </c>
      <c r="G109" s="14">
        <v>11.5</v>
      </c>
      <c r="H109" s="14">
        <v>8.0</v>
      </c>
      <c r="I109" s="16">
        <f t="shared" si="1"/>
        <v>65.9</v>
      </c>
      <c r="J109" s="14">
        <v>72.0</v>
      </c>
      <c r="K109" s="14">
        <v>84.0</v>
      </c>
      <c r="L109" s="14">
        <f t="shared" si="2"/>
        <v>221.9</v>
      </c>
      <c r="M109" s="14" t="str">
        <f t="shared" si="3"/>
        <v>Passed</v>
      </c>
    </row>
    <row r="110">
      <c r="A110" s="14"/>
      <c r="B110" s="19" t="s">
        <v>125</v>
      </c>
      <c r="C110" s="14"/>
      <c r="D110" s="14"/>
      <c r="E110" s="14"/>
      <c r="F110" s="14"/>
      <c r="G110" s="14"/>
      <c r="H110" s="14"/>
      <c r="I110" s="16" t="str">
        <f t="shared" si="1"/>
        <v/>
      </c>
      <c r="J110" s="16"/>
      <c r="K110" s="16"/>
      <c r="L110" s="14" t="str">
        <f t="shared" si="2"/>
        <v/>
      </c>
      <c r="M110" s="14" t="str">
        <f t="shared" si="3"/>
        <v/>
      </c>
    </row>
    <row r="111">
      <c r="A111" s="20">
        <v>205.0</v>
      </c>
      <c r="B111" s="18" t="s">
        <v>126</v>
      </c>
      <c r="C111" s="21">
        <v>13.2</v>
      </c>
      <c r="D111" s="14">
        <v>5.0</v>
      </c>
      <c r="E111" s="14">
        <v>10.0</v>
      </c>
      <c r="F111" s="14">
        <v>6.0</v>
      </c>
      <c r="G111" s="14">
        <v>9.5</v>
      </c>
      <c r="H111" s="14">
        <v>6.0</v>
      </c>
      <c r="I111" s="16">
        <f t="shared" si="1"/>
        <v>49.7</v>
      </c>
      <c r="J111" s="14">
        <v>40.0</v>
      </c>
      <c r="K111" s="14">
        <v>65.0</v>
      </c>
      <c r="L111" s="14">
        <f t="shared" si="2"/>
        <v>154.7</v>
      </c>
      <c r="M111" s="14" t="str">
        <f t="shared" si="3"/>
        <v>Failed</v>
      </c>
    </row>
    <row r="112">
      <c r="A112" s="14"/>
      <c r="B112" s="19" t="s">
        <v>127</v>
      </c>
      <c r="C112" s="14"/>
      <c r="D112" s="14"/>
      <c r="E112" s="14"/>
      <c r="F112" s="14"/>
      <c r="G112" s="14"/>
      <c r="H112" s="14"/>
      <c r="I112" s="16" t="str">
        <f t="shared" si="1"/>
        <v/>
      </c>
      <c r="J112" s="16"/>
      <c r="K112" s="16"/>
      <c r="L112" s="14" t="str">
        <f t="shared" si="2"/>
        <v/>
      </c>
      <c r="M112" s="14" t="str">
        <f t="shared" si="3"/>
        <v/>
      </c>
    </row>
    <row r="113">
      <c r="A113" s="20">
        <v>191.0</v>
      </c>
      <c r="B113" s="22" t="s">
        <v>128</v>
      </c>
      <c r="C113" s="21">
        <v>13.8</v>
      </c>
      <c r="D113" s="14">
        <v>8.0</v>
      </c>
      <c r="E113" s="14">
        <v>13.0</v>
      </c>
      <c r="F113" s="14">
        <v>10.5</v>
      </c>
      <c r="G113" s="14">
        <v>9.0</v>
      </c>
      <c r="H113" s="14">
        <v>6.0</v>
      </c>
      <c r="I113" s="16">
        <f t="shared" si="1"/>
        <v>60.3</v>
      </c>
      <c r="J113" s="14" t="s">
        <v>76</v>
      </c>
      <c r="K113" s="14" t="s">
        <v>76</v>
      </c>
      <c r="L113" s="14" t="str">
        <f t="shared" si="2"/>
        <v>A</v>
      </c>
      <c r="M113" s="14" t="str">
        <f t="shared" si="3"/>
        <v>Absent</v>
      </c>
    </row>
    <row r="114">
      <c r="A114" s="20"/>
      <c r="B114" s="23"/>
      <c r="C114" s="24"/>
      <c r="D114" s="25"/>
      <c r="E114" s="25"/>
      <c r="F114" s="25"/>
      <c r="G114" s="25"/>
      <c r="H114" s="25"/>
      <c r="I114" s="26"/>
      <c r="J114" s="27" t="s">
        <v>129</v>
      </c>
      <c r="K114" s="28">
        <f>SUM(K116, K117)</f>
        <v>55</v>
      </c>
      <c r="L114" s="27" t="s">
        <v>130</v>
      </c>
      <c r="M114" s="28">
        <f>COUNT(A6:A129)</f>
        <v>106</v>
      </c>
    </row>
    <row r="115">
      <c r="A115" s="14"/>
      <c r="B115" s="29"/>
      <c r="C115" s="26"/>
      <c r="D115" s="26"/>
      <c r="E115" s="26"/>
      <c r="F115" s="26"/>
      <c r="G115" s="26"/>
      <c r="H115" s="26"/>
      <c r="I115" s="25"/>
      <c r="J115" s="30" t="s">
        <v>131</v>
      </c>
      <c r="K115" s="31">
        <f>MINUS(M114, K114)</f>
        <v>51</v>
      </c>
      <c r="L115" s="27" t="s">
        <v>132</v>
      </c>
      <c r="M115" s="32">
        <f>countif(M6:M113,"Passed")</f>
        <v>29</v>
      </c>
    </row>
    <row r="116">
      <c r="A116" s="20"/>
      <c r="B116" s="33"/>
      <c r="C116" s="34"/>
      <c r="D116" s="35"/>
      <c r="E116" s="36"/>
      <c r="F116" s="37"/>
      <c r="G116" s="35"/>
      <c r="H116" s="36"/>
      <c r="I116" s="34"/>
      <c r="J116" s="38" t="s">
        <v>133</v>
      </c>
      <c r="K116" s="39">
        <f>COUNTIFS(I6:I113,"&gt;0", J6:J113,"&gt;0", K6:K113,"&gt;0")</f>
        <v>53</v>
      </c>
      <c r="L116" s="40" t="s">
        <v>134</v>
      </c>
      <c r="M116" s="32">
        <f>countif(M6:M113,"Failed")</f>
        <v>24</v>
      </c>
    </row>
    <row r="117">
      <c r="A117" s="20"/>
      <c r="B117" s="33"/>
      <c r="C117" s="34"/>
      <c r="D117" s="35"/>
      <c r="E117" s="36"/>
      <c r="F117" s="37"/>
      <c r="G117" s="35"/>
      <c r="H117" s="36"/>
      <c r="I117" s="34"/>
      <c r="J117" s="38" t="s">
        <v>135</v>
      </c>
      <c r="K117" s="39">
        <f>countif(M6:M113,"Absent")</f>
        <v>2</v>
      </c>
      <c r="L117" s="40" t="s">
        <v>136</v>
      </c>
      <c r="M117" s="41">
        <f>((M115/M114)*100)</f>
        <v>27.35849057</v>
      </c>
    </row>
    <row r="118">
      <c r="A118" s="20"/>
      <c r="B118" s="42"/>
      <c r="C118" s="42"/>
      <c r="D118" s="43"/>
      <c r="E118" s="43"/>
      <c r="F118" s="43"/>
      <c r="G118" s="43"/>
      <c r="H118" s="43"/>
      <c r="I118" s="43"/>
      <c r="J118" s="44"/>
      <c r="K118" s="16"/>
      <c r="L118" s="16"/>
      <c r="M118" s="16"/>
    </row>
    <row r="119">
      <c r="A119" s="20"/>
      <c r="B119" s="42"/>
      <c r="C119" s="42"/>
      <c r="D119" s="43"/>
      <c r="E119" s="43"/>
      <c r="F119" s="43"/>
      <c r="G119" s="43"/>
      <c r="H119" s="43"/>
      <c r="I119" s="43"/>
      <c r="J119" s="44"/>
      <c r="K119" s="16"/>
      <c r="L119" s="16"/>
      <c r="M119" s="16"/>
    </row>
    <row r="120">
      <c r="A120" s="45" t="s">
        <v>137</v>
      </c>
      <c r="B120" s="46"/>
      <c r="C120" s="47"/>
      <c r="D120" s="48"/>
      <c r="E120" s="48"/>
      <c r="F120" s="48"/>
      <c r="G120" s="48"/>
      <c r="H120" s="48"/>
      <c r="I120" s="48"/>
      <c r="J120" s="16"/>
      <c r="K120" s="16"/>
      <c r="L120" s="49"/>
      <c r="M120" s="49"/>
    </row>
    <row r="121">
      <c r="A121" s="14"/>
      <c r="B121" s="50" t="s">
        <v>138</v>
      </c>
      <c r="C121" s="51"/>
      <c r="D121" s="16"/>
      <c r="E121" s="16"/>
      <c r="F121" s="16"/>
      <c r="G121" s="48"/>
      <c r="H121" s="48"/>
      <c r="I121" s="48"/>
      <c r="J121" s="16"/>
      <c r="K121" s="16"/>
      <c r="L121" s="49"/>
      <c r="M121" s="49"/>
    </row>
    <row r="122">
      <c r="A122" s="14"/>
      <c r="B122" s="50" t="s">
        <v>139</v>
      </c>
      <c r="C122" s="51"/>
      <c r="D122" s="16"/>
      <c r="E122" s="16"/>
      <c r="F122" s="16"/>
      <c r="G122" s="48"/>
      <c r="H122" s="48"/>
      <c r="I122" s="48"/>
      <c r="J122" s="16"/>
      <c r="K122" s="16"/>
      <c r="L122" s="49"/>
      <c r="M122" s="49"/>
    </row>
    <row r="123">
      <c r="A123" s="14"/>
      <c r="B123" s="50" t="s">
        <v>140</v>
      </c>
      <c r="C123" s="51"/>
      <c r="D123" s="16"/>
      <c r="E123" s="16"/>
      <c r="F123" s="16"/>
      <c r="G123" s="48"/>
      <c r="H123" s="48"/>
      <c r="I123" s="48"/>
      <c r="J123" s="16"/>
      <c r="K123" s="16"/>
      <c r="L123" s="52" t="s">
        <v>141</v>
      </c>
    </row>
    <row r="124" ht="14.25" customHeight="1">
      <c r="A124" s="14"/>
      <c r="B124" s="50" t="s">
        <v>142</v>
      </c>
      <c r="C124" s="14"/>
      <c r="D124" s="16"/>
      <c r="E124" s="14"/>
      <c r="F124" s="14"/>
      <c r="G124" s="14"/>
      <c r="H124" s="16"/>
      <c r="I124" s="16"/>
      <c r="J124" s="16"/>
      <c r="K124" s="16"/>
      <c r="L124" s="52" t="s">
        <v>143</v>
      </c>
    </row>
    <row r="125" ht="15.0" customHeight="1">
      <c r="A125" s="14"/>
      <c r="B125" s="50" t="s">
        <v>144</v>
      </c>
      <c r="C125" s="14"/>
      <c r="D125" s="16"/>
      <c r="E125" s="14"/>
      <c r="F125" s="14"/>
      <c r="G125" s="14"/>
      <c r="H125" s="16"/>
      <c r="I125" s="16"/>
      <c r="J125" s="16"/>
      <c r="K125" s="16"/>
      <c r="L125" s="52" t="s">
        <v>145</v>
      </c>
    </row>
    <row r="126">
      <c r="A126" s="14"/>
      <c r="B126" s="50" t="s">
        <v>146</v>
      </c>
      <c r="C126" s="16"/>
      <c r="D126" s="16"/>
      <c r="E126" s="14"/>
      <c r="F126" s="16"/>
      <c r="G126" s="16"/>
      <c r="H126" s="16"/>
      <c r="I126" s="16"/>
      <c r="J126" s="16"/>
      <c r="K126" s="16"/>
      <c r="L126" s="16"/>
      <c r="M126" s="16"/>
    </row>
    <row r="127">
      <c r="A127" s="20"/>
      <c r="B127" s="53"/>
      <c r="C127" s="21"/>
      <c r="D127" s="14"/>
      <c r="E127" s="14"/>
      <c r="F127" s="16"/>
      <c r="G127" s="16"/>
      <c r="H127" s="16"/>
      <c r="I127" s="16"/>
      <c r="J127" s="49"/>
      <c r="K127" s="49"/>
      <c r="L127" s="49"/>
      <c r="M127" s="49"/>
    </row>
    <row r="128">
      <c r="A128" s="54"/>
      <c r="B128" s="54"/>
      <c r="C128" s="54"/>
      <c r="D128" s="54"/>
      <c r="E128" s="54"/>
      <c r="F128" s="49"/>
      <c r="G128" s="49"/>
      <c r="H128" s="49"/>
      <c r="I128" s="49"/>
      <c r="J128" s="49"/>
      <c r="K128" s="49"/>
      <c r="L128" s="49"/>
      <c r="M128" s="49"/>
    </row>
    <row r="129">
      <c r="A129" s="54"/>
      <c r="B129" s="54"/>
      <c r="C129" s="54"/>
      <c r="D129" s="54"/>
      <c r="E129" s="54"/>
      <c r="F129" s="49"/>
      <c r="G129" s="49"/>
      <c r="H129" s="49"/>
      <c r="I129" s="49"/>
      <c r="J129" s="49"/>
      <c r="K129" s="49"/>
      <c r="L129" s="49"/>
      <c r="M129" s="49"/>
    </row>
  </sheetData>
  <mergeCells count="13">
    <mergeCell ref="D116:E116"/>
    <mergeCell ref="D117:E117"/>
    <mergeCell ref="G117:H117"/>
    <mergeCell ref="L123:M123"/>
    <mergeCell ref="L124:M124"/>
    <mergeCell ref="L125:M125"/>
    <mergeCell ref="A1:M1"/>
    <mergeCell ref="A2:M2"/>
    <mergeCell ref="B3:L3"/>
    <mergeCell ref="J4:J5"/>
    <mergeCell ref="L4:L5"/>
    <mergeCell ref="M4:M5"/>
    <mergeCell ref="G116:H116"/>
  </mergeCells>
  <conditionalFormatting sqref="M3">
    <cfRule type="timePeriod" dxfId="0" priority="1" timePeriod="today"/>
  </conditionalFormatting>
  <conditionalFormatting sqref="I6:K114">
    <cfRule type="cellIs" dxfId="1" priority="2" operator="lessThan">
      <formula>60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