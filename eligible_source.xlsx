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 all data" sheetId="1" r:id="rId5"/>
  </sheets>
  <definedNames/>
  <calcPr/>
</workbook>
</file>

<file path=xl/sharedStrings.xml><?xml version="1.0" encoding="utf-8"?>
<sst xmlns="http://schemas.openxmlformats.org/spreadsheetml/2006/main" count="108" uniqueCount="104">
  <si>
    <t xml:space="preserve">     </t>
  </si>
  <si>
    <t xml:space="preserve">Khwaja Yunus Ali Medical College </t>
  </si>
  <si>
    <t>Department of Forensic Medicine and Toxicology</t>
  </si>
  <si>
    <t xml:space="preserve">                                           Eligible students list for 1st term (KYA-20,19,18)                    Date:17.05.2026</t>
  </si>
  <si>
    <t xml:space="preserve">       </t>
  </si>
  <si>
    <t xml:space="preserve">         Formative Assessment for an Eligible MBBS students of Term-I Examination (KYA-20 ) </t>
  </si>
  <si>
    <t>SL No</t>
  </si>
  <si>
    <t xml:space="preserve">Roll </t>
  </si>
  <si>
    <t>Name of the Students</t>
  </si>
  <si>
    <t>Lecture</t>
  </si>
  <si>
    <t>Tutorial</t>
  </si>
  <si>
    <t>Practical</t>
  </si>
  <si>
    <t>Total classes</t>
  </si>
  <si>
    <t>Item</t>
  </si>
  <si>
    <t>Class</t>
  </si>
  <si>
    <t>Item score+</t>
  </si>
  <si>
    <t>Generic topic</t>
  </si>
  <si>
    <t>Integrated teaching</t>
  </si>
  <si>
    <t>Remarks</t>
  </si>
  <si>
    <t>classes</t>
  </si>
  <si>
    <t>Held</t>
  </si>
  <si>
    <t>Total</t>
  </si>
  <si>
    <t>Score</t>
  </si>
  <si>
    <t xml:space="preserve">Performance </t>
  </si>
  <si>
    <t>Cl. att. score+</t>
  </si>
  <si>
    <t>Attendence(1)</t>
  </si>
  <si>
    <t>Assisgnments(4)</t>
  </si>
  <si>
    <t>Total GT</t>
  </si>
  <si>
    <t>Attendence(2)</t>
  </si>
  <si>
    <t>Assignments (8)</t>
  </si>
  <si>
    <t>Total IT</t>
  </si>
  <si>
    <t>(68 hrs)</t>
  </si>
  <si>
    <t>(26 hrs)</t>
  </si>
  <si>
    <t>(22 hrs)</t>
  </si>
  <si>
    <t>Present(%)</t>
  </si>
  <si>
    <t>score</t>
  </si>
  <si>
    <t>marks (190)</t>
  </si>
  <si>
    <t xml:space="preserve">class performance </t>
  </si>
  <si>
    <t>Md. Obaidullah</t>
  </si>
  <si>
    <t>Tasnim Sumayia</t>
  </si>
  <si>
    <t>Mithila Samanta</t>
  </si>
  <si>
    <t>Rukaiya Sultana</t>
  </si>
  <si>
    <t>Mahzabin Hossain Mrittika</t>
  </si>
  <si>
    <t>Adil Umer Farooq</t>
  </si>
  <si>
    <t>Mst. Afiya Abida</t>
  </si>
  <si>
    <t>Md. Sabbir Hossain Sohag</t>
  </si>
  <si>
    <t>Md. Shahin Alom Samrat</t>
  </si>
  <si>
    <t>Mir Majid Murtaza</t>
  </si>
  <si>
    <t>Md. Arman Ferdous Rijon</t>
  </si>
  <si>
    <t>Most. Shirajum Monira</t>
  </si>
  <si>
    <t>Shaike Shahed</t>
  </si>
  <si>
    <t>Milka Karmokar</t>
  </si>
  <si>
    <t>Aleena Naz</t>
  </si>
  <si>
    <t>Md. Sakibur Rahman Jisan</t>
  </si>
  <si>
    <t>Md. Rubel Pramanik</t>
  </si>
  <si>
    <t>Hashir Yaseen</t>
  </si>
  <si>
    <t>Most. Sumaiya Mukta</t>
  </si>
  <si>
    <t>Md. Mahmudul Hasan</t>
  </si>
  <si>
    <t>Aman Farooq</t>
  </si>
  <si>
    <t>Saima Tabassum Medha</t>
  </si>
  <si>
    <t>Prianka Bhadra</t>
  </si>
  <si>
    <t>Suraiya Sultana</t>
  </si>
  <si>
    <t>Urfa Hossain Aditi</t>
  </si>
  <si>
    <t>Md Aminul Islam Naim</t>
  </si>
  <si>
    <t>Faheem Ul Islam Bhat</t>
  </si>
  <si>
    <t>Dhrubo Das</t>
  </si>
  <si>
    <t>Sobia Mahak Abrar Ahmed Hashmi</t>
  </si>
  <si>
    <t>Anseef Majeed Kuthoo</t>
  </si>
  <si>
    <t>Deshmukh Pooja</t>
  </si>
  <si>
    <t>Neesan E Madina</t>
  </si>
  <si>
    <t>Noushin Ulfat</t>
  </si>
  <si>
    <t>Adiyan Ahad Wani</t>
  </si>
  <si>
    <t>Iftekhar Mahmud</t>
  </si>
  <si>
    <t>Ariba Mariyam</t>
  </si>
  <si>
    <t>Aflah Mushtaq</t>
  </si>
  <si>
    <t>Sabaqat Riyaz</t>
  </si>
  <si>
    <t>Safnan Rehman</t>
  </si>
  <si>
    <t>Mutahar Bashir</t>
  </si>
  <si>
    <t>Sumitra Basu Sumit</t>
  </si>
  <si>
    <t>Zehwa Qureshi</t>
  </si>
  <si>
    <t>Md Masum Hoque</t>
  </si>
  <si>
    <t>Mohammed Suffiyan Gehlot</t>
  </si>
  <si>
    <t>Soikat Pal</t>
  </si>
  <si>
    <t>Most. Afia Anzum Rifa</t>
  </si>
  <si>
    <t>Shawana</t>
  </si>
  <si>
    <t>Suhail Ahmad Khan</t>
  </si>
  <si>
    <t>Affan Ashraf</t>
  </si>
  <si>
    <t>Mohammad Suhaib Dar</t>
  </si>
  <si>
    <t>Sanna Ashraf Sofi</t>
  </si>
  <si>
    <t>Rehana Ali</t>
  </si>
  <si>
    <t>Muhammad Shifan</t>
  </si>
  <si>
    <t>KYA-19</t>
  </si>
  <si>
    <t>Md. Sazzad Hasan Fuwad</t>
  </si>
  <si>
    <t>Eligible</t>
  </si>
  <si>
    <t>KYA-18</t>
  </si>
  <si>
    <t>Sakib Khan</t>
  </si>
  <si>
    <t>Total Students:</t>
  </si>
  <si>
    <t>Shamima Nasrin</t>
  </si>
  <si>
    <t>Eligible :</t>
  </si>
  <si>
    <t>Toral Eligible:</t>
  </si>
  <si>
    <t>Not Eligible:</t>
  </si>
  <si>
    <t>Signature</t>
  </si>
  <si>
    <t xml:space="preserve">Head of Department </t>
  </si>
  <si>
    <t>Dept. of Forensic Medicine &amp; Toxicology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</si>
</sst>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3.0"/>
      <color theme="1"/>
      <name val="Times New Roman"/>
    </font>
    <font/>
    <font>
      <b/>
      <sz val="23.0"/>
      <color rgb="FF000000"/>
      <name val="Times New Roman"/>
    </font>
    <font>
      <b/>
      <sz val="23.0"/>
      <color theme="1"/>
      <name val="Arial"/>
      <scheme val="minor"/>
    </font>
    <font>
      <b/>
      <sz val="23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top style="dotted">
        <color rgb="FF000000"/>
      </top>
    </border>
    <border>
      <left style="hair">
        <color rgb="FF000000"/>
      </left>
      <right style="hair">
        <color rgb="FF000000"/>
      </righ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readingOrder="0" vertical="center"/>
    </xf>
    <xf borderId="6" fillId="2" fontId="1" numFmtId="0" xfId="0" applyAlignment="1" applyBorder="1" applyFill="1" applyFont="1">
      <alignment horizontal="center" readingOrder="0" vertical="center"/>
    </xf>
    <xf borderId="11" fillId="0" fontId="2" numFmtId="0" xfId="0" applyBorder="1" applyFont="1"/>
    <xf borderId="7" fillId="2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13" fillId="0" fontId="2" numFmtId="0" xfId="0" applyBorder="1" applyFont="1"/>
    <xf borderId="13" fillId="0" fontId="1" numFmtId="0" xfId="0" applyAlignment="1" applyBorder="1" applyFont="1">
      <alignment horizontal="center" readingOrder="0" vertical="center"/>
    </xf>
    <xf borderId="10" fillId="2" fontId="1" numFmtId="0" xfId="0" applyAlignment="1" applyBorder="1" applyFont="1">
      <alignment horizontal="center" readingOrder="0" vertical="center"/>
    </xf>
    <xf borderId="14" fillId="2" fontId="1" numFmtId="0" xfId="0" applyAlignment="1" applyBorder="1" applyFont="1">
      <alignment horizontal="center" readingOrder="0" vertical="center"/>
    </xf>
    <xf borderId="15" fillId="0" fontId="2" numFmtId="0" xfId="0" applyBorder="1" applyFont="1"/>
    <xf borderId="16" fillId="0" fontId="2" numFmtId="0" xfId="0" applyBorder="1" applyFont="1"/>
    <xf borderId="16" fillId="0" fontId="1" numFmtId="0" xfId="0" applyAlignment="1" applyBorder="1" applyFont="1">
      <alignment horizontal="center" readingOrder="0" vertical="center"/>
    </xf>
    <xf borderId="17" fillId="0" fontId="2" numFmtId="0" xfId="0" applyBorder="1" applyFont="1"/>
    <xf borderId="18" fillId="0" fontId="2" numFmtId="0" xfId="0" applyBorder="1" applyFont="1"/>
    <xf borderId="6" fillId="0" fontId="3" numFmtId="0" xfId="0" applyAlignment="1" applyBorder="1" applyFont="1">
      <alignment horizontal="left" readingOrder="0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10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vertical="bottom"/>
    </xf>
    <xf borderId="0" fillId="0" fontId="1" numFmtId="0" xfId="0" applyAlignment="1" applyFont="1">
      <alignment horizontal="right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5">
    <tableStyle count="3" pivot="0" name="EL all data-style">
      <tableStyleElement dxfId="1" type="headerRow"/>
      <tableStyleElement dxfId="2" type="firstRowStripe"/>
      <tableStyleElement dxfId="3" type="secondRowStripe"/>
    </tableStyle>
    <tableStyle count="2" pivot="0" name="EL all data-style 2">
      <tableStyleElement dxfId="2" type="firstRowStripe"/>
      <tableStyleElement dxfId="3" type="secondRowStripe"/>
    </tableStyle>
    <tableStyle count="2" pivot="0" name="EL all data-style 3">
      <tableStyleElement dxfId="2" type="firstRowStripe"/>
      <tableStyleElement dxfId="3" type="secondRowStripe"/>
    </tableStyle>
    <tableStyle count="2" pivot="0" name="EL all data-style 4">
      <tableStyleElement dxfId="2" type="firstRowStripe"/>
      <tableStyleElement dxfId="3" type="secondRowStripe"/>
    </tableStyle>
    <tableStyle count="2" pivot="0" name="EL all data-style 5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5:F63" displayName="Table_1" name="Table_1" id="1">
  <tableColumns count="3">
    <tableColumn name="Lecture" id="1"/>
    <tableColumn name="Tutorial" id="2"/>
    <tableColumn name="Practical" id="3"/>
  </tableColumns>
  <tableStyleInfo name="EL all 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I8:I61" displayName="Table_2" name="Table_2" id="2">
  <tableColumns count="1">
    <tableColumn name="Column1" id="1"/>
  </tableColumns>
  <tableStyleInfo name="EL all data-style 2" showColumnStripes="0" showFirstColumn="1" showLastColumn="1" showRowStripes="1"/>
</table>
</file>

<file path=xl/tables/table3.xml><?xml version="1.0" encoding="utf-8"?>
<table xmlns="http://schemas.openxmlformats.org/spreadsheetml/2006/main" headerRowCount="0" ref="K8:K61" displayName="Table_3" name="Table_3" id="3">
  <tableColumns count="1">
    <tableColumn name="Column1" id="1"/>
  </tableColumns>
  <tableStyleInfo name="EL all data-style 3" showColumnStripes="0" showFirstColumn="1" showLastColumn="1" showRowStripes="1"/>
</table>
</file>

<file path=xl/tables/table4.xml><?xml version="1.0" encoding="utf-8"?>
<table xmlns="http://schemas.openxmlformats.org/spreadsheetml/2006/main" headerRowCount="0" ref="M8:N61" displayName="Table_4" name="Table_4" id="4">
  <tableColumns count="2">
    <tableColumn name="Column1" id="1"/>
    <tableColumn name="Column2" id="2"/>
  </tableColumns>
  <tableStyleInfo name="EL all data-style 4" showColumnStripes="0" showFirstColumn="1" showLastColumn="1" showRowStripes="1"/>
</table>
</file>

<file path=xl/tables/table5.xml><?xml version="1.0" encoding="utf-8"?>
<table xmlns="http://schemas.openxmlformats.org/spreadsheetml/2006/main" headerRowCount="0" ref="P8:Q61" displayName="Table_5" name="Table_5" id="5">
  <tableColumns count="2">
    <tableColumn name="Column1" id="1"/>
    <tableColumn name="Column2" id="2"/>
  </tableColumns>
  <tableStyleInfo name="EL all data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75"/>
  <cols>
    <col customWidth="1" min="3" max="3" width="62.0"/>
    <col customWidth="1" min="4" max="4" width="15.5"/>
    <col customWidth="1" min="7" max="7" width="19.63"/>
    <col customWidth="1" min="9" max="9" width="17.38"/>
    <col customWidth="1" min="11" max="11" width="23.38"/>
    <col customWidth="1" min="12" max="12" width="33.88"/>
    <col customWidth="1" min="13" max="13" width="25.63"/>
    <col customWidth="1" min="14" max="14" width="28.38"/>
    <col customWidth="1" min="15" max="15" width="17.88"/>
    <col customWidth="1" min="16" max="16" width="25.0"/>
    <col customWidth="1" min="17" max="17" width="28.75"/>
    <col customWidth="1" min="18" max="18" width="17.0"/>
    <col customWidth="1" min="19" max="19" width="27.25"/>
  </cols>
  <sheetData>
    <row r="1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</row>
    <row r="2">
      <c r="A2" s="1"/>
      <c r="B2" s="6"/>
      <c r="C2" s="3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</row>
    <row r="3">
      <c r="A3" s="1"/>
      <c r="B3" s="6"/>
      <c r="C3" s="7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>
      <c r="A4" s="1"/>
      <c r="B4" s="9"/>
      <c r="C4" s="10" t="s">
        <v>4</v>
      </c>
      <c r="D4" s="11" t="s">
        <v>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1"/>
      <c r="R4" s="13"/>
      <c r="S4" s="13"/>
    </row>
    <row r="5">
      <c r="A5" s="1" t="s">
        <v>6</v>
      </c>
      <c r="B5" s="14" t="s">
        <v>7</v>
      </c>
      <c r="C5" s="15" t="s">
        <v>8</v>
      </c>
      <c r="D5" s="16" t="s">
        <v>9</v>
      </c>
      <c r="E5" s="16" t="s">
        <v>10</v>
      </c>
      <c r="F5" s="16" t="s">
        <v>11</v>
      </c>
      <c r="G5" s="10" t="s">
        <v>12</v>
      </c>
      <c r="H5" s="12"/>
      <c r="I5" s="10" t="s">
        <v>13</v>
      </c>
      <c r="J5" s="17"/>
      <c r="K5" s="16" t="s">
        <v>14</v>
      </c>
      <c r="L5" s="14" t="s">
        <v>15</v>
      </c>
      <c r="M5" s="18" t="s">
        <v>16</v>
      </c>
      <c r="N5" s="17"/>
      <c r="O5" s="9"/>
      <c r="P5" s="18" t="s">
        <v>17</v>
      </c>
      <c r="Q5" s="17"/>
      <c r="R5" s="13"/>
      <c r="S5" s="19" t="s">
        <v>18</v>
      </c>
    </row>
    <row r="6">
      <c r="B6" s="20"/>
      <c r="C6" s="20"/>
      <c r="D6" s="16" t="s">
        <v>19</v>
      </c>
      <c r="E6" s="16" t="s">
        <v>19</v>
      </c>
      <c r="F6" s="16" t="s">
        <v>19</v>
      </c>
      <c r="G6" s="9" t="s">
        <v>20</v>
      </c>
      <c r="H6" s="9">
        <v>116.0</v>
      </c>
      <c r="I6" s="16" t="s">
        <v>21</v>
      </c>
      <c r="J6" s="14" t="s">
        <v>22</v>
      </c>
      <c r="K6" s="16" t="s">
        <v>23</v>
      </c>
      <c r="L6" s="21" t="s">
        <v>24</v>
      </c>
      <c r="M6" s="22" t="s">
        <v>25</v>
      </c>
      <c r="N6" s="22" t="s">
        <v>26</v>
      </c>
      <c r="O6" s="14" t="s">
        <v>27</v>
      </c>
      <c r="P6" s="22" t="s">
        <v>28</v>
      </c>
      <c r="Q6" s="23" t="s">
        <v>29</v>
      </c>
      <c r="R6" s="19" t="s">
        <v>30</v>
      </c>
      <c r="S6" s="24"/>
    </row>
    <row r="7">
      <c r="B7" s="25"/>
      <c r="C7" s="25"/>
      <c r="D7" s="16" t="s">
        <v>31</v>
      </c>
      <c r="E7" s="16" t="s">
        <v>32</v>
      </c>
      <c r="F7" s="16" t="s">
        <v>33</v>
      </c>
      <c r="G7" s="9" t="s">
        <v>34</v>
      </c>
      <c r="H7" s="9" t="s">
        <v>35</v>
      </c>
      <c r="I7" s="16" t="s">
        <v>36</v>
      </c>
      <c r="J7" s="25"/>
      <c r="K7" s="16"/>
      <c r="L7" s="26" t="s">
        <v>37</v>
      </c>
      <c r="M7" s="25"/>
      <c r="N7" s="25"/>
      <c r="O7" s="25"/>
      <c r="P7" s="25"/>
      <c r="Q7" s="27"/>
      <c r="R7" s="28"/>
      <c r="S7" s="28"/>
    </row>
    <row r="8">
      <c r="A8" s="1">
        <v>1.0</v>
      </c>
      <c r="B8" s="9">
        <v>102.0</v>
      </c>
      <c r="C8" s="29" t="s">
        <v>38</v>
      </c>
      <c r="D8" s="30">
        <v>46.0</v>
      </c>
      <c r="E8" s="30">
        <v>22.0</v>
      </c>
      <c r="F8" s="30">
        <v>20.0</v>
      </c>
      <c r="G8" s="31">
        <f t="shared" ref="G8:G60" si="1">IF(COUNT(D8,E8,F8)=0,"",ROUND((SUM(D8,E8,F8)/H$6)*100,0))</f>
        <v>76</v>
      </c>
      <c r="H8" s="31">
        <f t="shared" ref="H8:H60" si="2">IF(G8="","",IF(G8&lt;75,0,IF(G8&lt;80,1,2)))</f>
        <v>1</v>
      </c>
      <c r="I8" s="30">
        <v>118.0</v>
      </c>
      <c r="J8" s="9">
        <f t="shared" ref="J8:J60" si="3">IF(I8="","",IF(I8&lt;114,0,IF(I8&lt;125,4,IF(I8&lt;135,5,6))))</f>
        <v>4</v>
      </c>
      <c r="K8" s="30">
        <v>1.0</v>
      </c>
      <c r="L8" s="9">
        <f t="shared" ref="L8:L60" si="4">IF(AND(H8="",J8="",K8=""),"",H8+J8+K8)</f>
        <v>6</v>
      </c>
      <c r="M8" s="30">
        <v>1.0</v>
      </c>
      <c r="N8" s="30">
        <v>4.0</v>
      </c>
      <c r="O8" s="9">
        <f t="shared" ref="O8:O60" si="5">IF(COUNT(M8,N8)=0,"",SUM(M8,N8))</f>
        <v>5</v>
      </c>
      <c r="P8" s="30">
        <v>2.0</v>
      </c>
      <c r="Q8" s="32">
        <v>8.0</v>
      </c>
      <c r="R8" s="13">
        <f t="shared" ref="R8:R60" si="6">IF(COUNT(P8,Q8)=0,"",SUM(P8,Q8))</f>
        <v>10</v>
      </c>
      <c r="S8" s="13" t="str">
        <f t="shared" ref="S8:S60" si="7">IF(OR(G8="",L8="",O8="",R8=""),"",IF(AND(G8&gt;=75,L8&gt;=6,O8&gt;=5,R8&gt;=9),"Eligible","Not Eligible"))</f>
        <v>Eligible</v>
      </c>
    </row>
    <row r="9">
      <c r="A9" s="1">
        <v>2.0</v>
      </c>
      <c r="B9" s="9">
        <v>103.0</v>
      </c>
      <c r="C9" s="29" t="s">
        <v>39</v>
      </c>
      <c r="D9" s="30">
        <v>57.0</v>
      </c>
      <c r="E9" s="30">
        <v>24.0</v>
      </c>
      <c r="F9" s="30">
        <v>22.0</v>
      </c>
      <c r="G9" s="31">
        <f t="shared" si="1"/>
        <v>89</v>
      </c>
      <c r="H9" s="31">
        <f t="shared" si="2"/>
        <v>2</v>
      </c>
      <c r="I9" s="30">
        <v>129.0</v>
      </c>
      <c r="J9" s="9">
        <f t="shared" si="3"/>
        <v>5</v>
      </c>
      <c r="K9" s="30">
        <v>2.0</v>
      </c>
      <c r="L9" s="9">
        <f t="shared" si="4"/>
        <v>9</v>
      </c>
      <c r="M9" s="30">
        <v>1.0</v>
      </c>
      <c r="N9" s="30">
        <v>4.0</v>
      </c>
      <c r="O9" s="9">
        <f t="shared" si="5"/>
        <v>5</v>
      </c>
      <c r="P9" s="30">
        <v>2.0</v>
      </c>
      <c r="Q9" s="32">
        <v>8.0</v>
      </c>
      <c r="R9" s="13">
        <f t="shared" si="6"/>
        <v>10</v>
      </c>
      <c r="S9" s="13" t="str">
        <f t="shared" si="7"/>
        <v>Eligible</v>
      </c>
    </row>
    <row r="10">
      <c r="A10" s="1">
        <v>3.0</v>
      </c>
      <c r="B10" s="9">
        <v>104.0</v>
      </c>
      <c r="C10" s="29" t="s">
        <v>40</v>
      </c>
      <c r="D10" s="30">
        <v>58.0</v>
      </c>
      <c r="E10" s="30">
        <v>24.0</v>
      </c>
      <c r="F10" s="30">
        <v>20.0</v>
      </c>
      <c r="G10" s="31">
        <f t="shared" si="1"/>
        <v>88</v>
      </c>
      <c r="H10" s="31">
        <f t="shared" si="2"/>
        <v>2</v>
      </c>
      <c r="I10" s="30">
        <v>117.0</v>
      </c>
      <c r="J10" s="9">
        <f t="shared" si="3"/>
        <v>4</v>
      </c>
      <c r="K10" s="30">
        <v>2.0</v>
      </c>
      <c r="L10" s="9">
        <f t="shared" si="4"/>
        <v>8</v>
      </c>
      <c r="M10" s="30">
        <v>1.0</v>
      </c>
      <c r="N10" s="30">
        <v>4.0</v>
      </c>
      <c r="O10" s="9">
        <f t="shared" si="5"/>
        <v>5</v>
      </c>
      <c r="P10" s="30">
        <v>2.0</v>
      </c>
      <c r="Q10" s="32">
        <v>8.0</v>
      </c>
      <c r="R10" s="13">
        <f t="shared" si="6"/>
        <v>10</v>
      </c>
      <c r="S10" s="13" t="str">
        <f t="shared" si="7"/>
        <v>Eligible</v>
      </c>
    </row>
    <row r="11">
      <c r="A11" s="1">
        <v>4.0</v>
      </c>
      <c r="B11" s="9">
        <v>107.0</v>
      </c>
      <c r="C11" s="29" t="s">
        <v>41</v>
      </c>
      <c r="D11" s="30">
        <v>60.0</v>
      </c>
      <c r="E11" s="30">
        <v>24.0</v>
      </c>
      <c r="F11" s="30">
        <v>22.0</v>
      </c>
      <c r="G11" s="31">
        <f t="shared" si="1"/>
        <v>91</v>
      </c>
      <c r="H11" s="31">
        <f t="shared" si="2"/>
        <v>2</v>
      </c>
      <c r="I11" s="30">
        <v>125.0</v>
      </c>
      <c r="J11" s="9">
        <f t="shared" si="3"/>
        <v>5</v>
      </c>
      <c r="K11" s="30">
        <v>1.0</v>
      </c>
      <c r="L11" s="9">
        <f t="shared" si="4"/>
        <v>8</v>
      </c>
      <c r="M11" s="30">
        <v>1.0</v>
      </c>
      <c r="N11" s="30">
        <v>4.0</v>
      </c>
      <c r="O11" s="9">
        <f t="shared" si="5"/>
        <v>5</v>
      </c>
      <c r="P11" s="30">
        <v>2.0</v>
      </c>
      <c r="Q11" s="32">
        <v>8.0</v>
      </c>
      <c r="R11" s="13">
        <f t="shared" si="6"/>
        <v>10</v>
      </c>
      <c r="S11" s="13" t="str">
        <f t="shared" si="7"/>
        <v>Eligible</v>
      </c>
    </row>
    <row r="12">
      <c r="A12" s="1">
        <v>5.0</v>
      </c>
      <c r="B12" s="9">
        <v>108.0</v>
      </c>
      <c r="C12" s="29" t="s">
        <v>42</v>
      </c>
      <c r="D12" s="30">
        <v>58.0</v>
      </c>
      <c r="E12" s="30">
        <v>22.0</v>
      </c>
      <c r="F12" s="30">
        <v>20.0</v>
      </c>
      <c r="G12" s="31">
        <f t="shared" si="1"/>
        <v>86</v>
      </c>
      <c r="H12" s="31">
        <f t="shared" si="2"/>
        <v>2</v>
      </c>
      <c r="I12" s="30">
        <v>126.0</v>
      </c>
      <c r="J12" s="9">
        <f t="shared" si="3"/>
        <v>5</v>
      </c>
      <c r="K12" s="30">
        <v>1.0</v>
      </c>
      <c r="L12" s="9">
        <f t="shared" si="4"/>
        <v>8</v>
      </c>
      <c r="M12" s="30">
        <v>1.0</v>
      </c>
      <c r="N12" s="30">
        <v>4.0</v>
      </c>
      <c r="O12" s="9">
        <f t="shared" si="5"/>
        <v>5</v>
      </c>
      <c r="P12" s="30">
        <v>2.0</v>
      </c>
      <c r="Q12" s="32">
        <v>8.0</v>
      </c>
      <c r="R12" s="13">
        <f t="shared" si="6"/>
        <v>10</v>
      </c>
      <c r="S12" s="13" t="str">
        <f t="shared" si="7"/>
        <v>Eligible</v>
      </c>
    </row>
    <row r="13">
      <c r="A13" s="1">
        <v>6.0</v>
      </c>
      <c r="B13" s="9">
        <v>111.0</v>
      </c>
      <c r="C13" s="29" t="s">
        <v>43</v>
      </c>
      <c r="D13" s="30">
        <v>54.0</v>
      </c>
      <c r="E13" s="30">
        <v>16.0</v>
      </c>
      <c r="F13" s="30">
        <v>18.0</v>
      </c>
      <c r="G13" s="31">
        <f t="shared" si="1"/>
        <v>76</v>
      </c>
      <c r="H13" s="31">
        <f t="shared" si="2"/>
        <v>1</v>
      </c>
      <c r="I13" s="30">
        <v>124.0</v>
      </c>
      <c r="J13" s="9">
        <f t="shared" si="3"/>
        <v>4</v>
      </c>
      <c r="K13" s="30">
        <v>1.0</v>
      </c>
      <c r="L13" s="9">
        <f t="shared" si="4"/>
        <v>6</v>
      </c>
      <c r="M13" s="30">
        <v>1.0</v>
      </c>
      <c r="N13" s="30">
        <v>4.0</v>
      </c>
      <c r="O13" s="9">
        <f t="shared" si="5"/>
        <v>5</v>
      </c>
      <c r="P13" s="30">
        <v>2.0</v>
      </c>
      <c r="Q13" s="32">
        <v>8.0</v>
      </c>
      <c r="R13" s="13">
        <f t="shared" si="6"/>
        <v>10</v>
      </c>
      <c r="S13" s="13" t="str">
        <f t="shared" si="7"/>
        <v>Eligible</v>
      </c>
    </row>
    <row r="14">
      <c r="A14" s="1">
        <v>7.0</v>
      </c>
      <c r="B14" s="9">
        <v>112.0</v>
      </c>
      <c r="C14" s="29" t="s">
        <v>44</v>
      </c>
      <c r="D14" s="30">
        <v>53.0</v>
      </c>
      <c r="E14" s="30">
        <v>22.0</v>
      </c>
      <c r="F14" s="30">
        <v>20.0</v>
      </c>
      <c r="G14" s="31">
        <f t="shared" si="1"/>
        <v>82</v>
      </c>
      <c r="H14" s="31">
        <f t="shared" si="2"/>
        <v>2</v>
      </c>
      <c r="I14" s="30">
        <v>124.0</v>
      </c>
      <c r="J14" s="9">
        <f t="shared" si="3"/>
        <v>4</v>
      </c>
      <c r="K14" s="30">
        <v>1.0</v>
      </c>
      <c r="L14" s="9">
        <f t="shared" si="4"/>
        <v>7</v>
      </c>
      <c r="M14" s="30">
        <v>1.0</v>
      </c>
      <c r="N14" s="30">
        <v>4.0</v>
      </c>
      <c r="O14" s="9">
        <f t="shared" si="5"/>
        <v>5</v>
      </c>
      <c r="P14" s="30">
        <v>2.0</v>
      </c>
      <c r="Q14" s="32">
        <v>8.0</v>
      </c>
      <c r="R14" s="13">
        <f t="shared" si="6"/>
        <v>10</v>
      </c>
      <c r="S14" s="13" t="str">
        <f t="shared" si="7"/>
        <v>Eligible</v>
      </c>
    </row>
    <row r="15">
      <c r="A15" s="1">
        <v>8.0</v>
      </c>
      <c r="B15" s="9">
        <v>120.0</v>
      </c>
      <c r="C15" s="29" t="s">
        <v>45</v>
      </c>
      <c r="D15" s="30">
        <v>67.0</v>
      </c>
      <c r="E15" s="30">
        <v>24.0</v>
      </c>
      <c r="F15" s="30">
        <v>22.0</v>
      </c>
      <c r="G15" s="31">
        <f t="shared" si="1"/>
        <v>97</v>
      </c>
      <c r="H15" s="31">
        <f t="shared" si="2"/>
        <v>2</v>
      </c>
      <c r="I15" s="30">
        <v>116.0</v>
      </c>
      <c r="J15" s="9">
        <f t="shared" si="3"/>
        <v>4</v>
      </c>
      <c r="K15" s="30">
        <v>2.0</v>
      </c>
      <c r="L15" s="9">
        <f t="shared" si="4"/>
        <v>8</v>
      </c>
      <c r="M15" s="30">
        <v>1.0</v>
      </c>
      <c r="N15" s="30">
        <v>4.0</v>
      </c>
      <c r="O15" s="9">
        <f t="shared" si="5"/>
        <v>5</v>
      </c>
      <c r="P15" s="30">
        <v>2.0</v>
      </c>
      <c r="Q15" s="32">
        <v>8.0</v>
      </c>
      <c r="R15" s="13">
        <f t="shared" si="6"/>
        <v>10</v>
      </c>
      <c r="S15" s="13" t="str">
        <f t="shared" si="7"/>
        <v>Eligible</v>
      </c>
    </row>
    <row r="16">
      <c r="A16" s="1">
        <v>9.0</v>
      </c>
      <c r="B16" s="9">
        <v>122.0</v>
      </c>
      <c r="C16" s="29" t="s">
        <v>46</v>
      </c>
      <c r="D16" s="30">
        <v>59.0</v>
      </c>
      <c r="E16" s="30">
        <v>24.0</v>
      </c>
      <c r="F16" s="30">
        <v>18.0</v>
      </c>
      <c r="G16" s="31">
        <f t="shared" si="1"/>
        <v>87</v>
      </c>
      <c r="H16" s="31">
        <f t="shared" si="2"/>
        <v>2</v>
      </c>
      <c r="I16" s="30">
        <v>116.0</v>
      </c>
      <c r="J16" s="9">
        <f t="shared" si="3"/>
        <v>4</v>
      </c>
      <c r="K16" s="30">
        <v>2.0</v>
      </c>
      <c r="L16" s="9">
        <f t="shared" si="4"/>
        <v>8</v>
      </c>
      <c r="M16" s="30">
        <v>1.0</v>
      </c>
      <c r="N16" s="30">
        <v>4.0</v>
      </c>
      <c r="O16" s="9">
        <f t="shared" si="5"/>
        <v>5</v>
      </c>
      <c r="P16" s="30">
        <v>2.0</v>
      </c>
      <c r="Q16" s="32">
        <v>8.0</v>
      </c>
      <c r="R16" s="13">
        <f t="shared" si="6"/>
        <v>10</v>
      </c>
      <c r="S16" s="13" t="str">
        <f t="shared" si="7"/>
        <v>Eligible</v>
      </c>
    </row>
    <row r="17">
      <c r="A17" s="1">
        <v>10.0</v>
      </c>
      <c r="B17" s="9">
        <v>123.0</v>
      </c>
      <c r="C17" s="29" t="s">
        <v>47</v>
      </c>
      <c r="D17" s="30">
        <v>51.0</v>
      </c>
      <c r="E17" s="30">
        <v>20.0</v>
      </c>
      <c r="F17" s="30">
        <v>16.0</v>
      </c>
      <c r="G17" s="31">
        <f t="shared" si="1"/>
        <v>75</v>
      </c>
      <c r="H17" s="31">
        <f t="shared" si="2"/>
        <v>1</v>
      </c>
      <c r="I17" s="30">
        <v>123.0</v>
      </c>
      <c r="J17" s="9">
        <f t="shared" si="3"/>
        <v>4</v>
      </c>
      <c r="K17" s="30">
        <v>1.0</v>
      </c>
      <c r="L17" s="9">
        <f t="shared" si="4"/>
        <v>6</v>
      </c>
      <c r="M17" s="30">
        <v>1.0</v>
      </c>
      <c r="N17" s="30">
        <v>4.0</v>
      </c>
      <c r="O17" s="9">
        <f t="shared" si="5"/>
        <v>5</v>
      </c>
      <c r="P17" s="30">
        <v>2.0</v>
      </c>
      <c r="Q17" s="32">
        <v>8.0</v>
      </c>
      <c r="R17" s="13">
        <f t="shared" si="6"/>
        <v>10</v>
      </c>
      <c r="S17" s="13" t="str">
        <f t="shared" si="7"/>
        <v>Eligible</v>
      </c>
    </row>
    <row r="18">
      <c r="A18" s="1">
        <v>11.0</v>
      </c>
      <c r="B18" s="9">
        <v>124.0</v>
      </c>
      <c r="C18" s="29" t="s">
        <v>48</v>
      </c>
      <c r="D18" s="30">
        <v>62.0</v>
      </c>
      <c r="E18" s="30">
        <v>24.0</v>
      </c>
      <c r="F18" s="30">
        <v>20.0</v>
      </c>
      <c r="G18" s="31">
        <f t="shared" si="1"/>
        <v>91</v>
      </c>
      <c r="H18" s="31">
        <f t="shared" si="2"/>
        <v>2</v>
      </c>
      <c r="I18" s="30">
        <v>115.0</v>
      </c>
      <c r="J18" s="9">
        <f t="shared" si="3"/>
        <v>4</v>
      </c>
      <c r="K18" s="30">
        <v>1.0</v>
      </c>
      <c r="L18" s="9">
        <f t="shared" si="4"/>
        <v>7</v>
      </c>
      <c r="M18" s="30">
        <v>1.0</v>
      </c>
      <c r="N18" s="30">
        <v>4.0</v>
      </c>
      <c r="O18" s="9">
        <f t="shared" si="5"/>
        <v>5</v>
      </c>
      <c r="P18" s="30">
        <v>2.0</v>
      </c>
      <c r="Q18" s="32">
        <v>8.0</v>
      </c>
      <c r="R18" s="13">
        <f t="shared" si="6"/>
        <v>10</v>
      </c>
      <c r="S18" s="13" t="str">
        <f t="shared" si="7"/>
        <v>Eligible</v>
      </c>
    </row>
    <row r="19">
      <c r="A19" s="1">
        <v>12.0</v>
      </c>
      <c r="B19" s="9">
        <v>126.0</v>
      </c>
      <c r="C19" s="29" t="s">
        <v>49</v>
      </c>
      <c r="D19" s="30">
        <v>56.0</v>
      </c>
      <c r="E19" s="30">
        <v>24.0</v>
      </c>
      <c r="F19" s="30">
        <v>16.0</v>
      </c>
      <c r="G19" s="31">
        <f t="shared" si="1"/>
        <v>83</v>
      </c>
      <c r="H19" s="31">
        <f t="shared" si="2"/>
        <v>2</v>
      </c>
      <c r="I19" s="30">
        <v>115.0</v>
      </c>
      <c r="J19" s="9">
        <f t="shared" si="3"/>
        <v>4</v>
      </c>
      <c r="K19" s="30">
        <v>2.0</v>
      </c>
      <c r="L19" s="9">
        <f t="shared" si="4"/>
        <v>8</v>
      </c>
      <c r="M19" s="30">
        <v>1.0</v>
      </c>
      <c r="N19" s="30">
        <v>4.0</v>
      </c>
      <c r="O19" s="9">
        <f t="shared" si="5"/>
        <v>5</v>
      </c>
      <c r="P19" s="30">
        <v>2.0</v>
      </c>
      <c r="Q19" s="32">
        <v>8.0</v>
      </c>
      <c r="R19" s="13">
        <f t="shared" si="6"/>
        <v>10</v>
      </c>
      <c r="S19" s="13" t="str">
        <f t="shared" si="7"/>
        <v>Eligible</v>
      </c>
    </row>
    <row r="20">
      <c r="A20" s="1">
        <v>13.0</v>
      </c>
      <c r="B20" s="9">
        <v>127.0</v>
      </c>
      <c r="C20" s="29" t="s">
        <v>50</v>
      </c>
      <c r="D20" s="30">
        <v>57.0</v>
      </c>
      <c r="E20" s="30">
        <v>24.0</v>
      </c>
      <c r="F20" s="30">
        <v>20.0</v>
      </c>
      <c r="G20" s="31">
        <f t="shared" si="1"/>
        <v>87</v>
      </c>
      <c r="H20" s="31">
        <f t="shared" si="2"/>
        <v>2</v>
      </c>
      <c r="I20" s="30">
        <v>117.0</v>
      </c>
      <c r="J20" s="9">
        <f t="shared" si="3"/>
        <v>4</v>
      </c>
      <c r="K20" s="30">
        <v>2.0</v>
      </c>
      <c r="L20" s="9">
        <f t="shared" si="4"/>
        <v>8</v>
      </c>
      <c r="M20" s="30">
        <v>1.0</v>
      </c>
      <c r="N20" s="30">
        <v>4.0</v>
      </c>
      <c r="O20" s="9">
        <f t="shared" si="5"/>
        <v>5</v>
      </c>
      <c r="P20" s="30">
        <v>2.0</v>
      </c>
      <c r="Q20" s="32">
        <v>8.0</v>
      </c>
      <c r="R20" s="13">
        <f t="shared" si="6"/>
        <v>10</v>
      </c>
      <c r="S20" s="13" t="str">
        <f t="shared" si="7"/>
        <v>Eligible</v>
      </c>
    </row>
    <row r="21">
      <c r="A21" s="1">
        <v>14.0</v>
      </c>
      <c r="B21" s="9">
        <v>130.0</v>
      </c>
      <c r="C21" s="29" t="s">
        <v>51</v>
      </c>
      <c r="D21" s="30">
        <v>62.0</v>
      </c>
      <c r="E21" s="30">
        <v>24.0</v>
      </c>
      <c r="F21" s="30">
        <v>20.0</v>
      </c>
      <c r="G21" s="31">
        <f t="shared" si="1"/>
        <v>91</v>
      </c>
      <c r="H21" s="31">
        <f t="shared" si="2"/>
        <v>2</v>
      </c>
      <c r="I21" s="30">
        <v>116.0</v>
      </c>
      <c r="J21" s="9">
        <f t="shared" si="3"/>
        <v>4</v>
      </c>
      <c r="K21" s="30">
        <v>2.0</v>
      </c>
      <c r="L21" s="9">
        <f t="shared" si="4"/>
        <v>8</v>
      </c>
      <c r="M21" s="30">
        <v>1.0</v>
      </c>
      <c r="N21" s="30">
        <v>4.0</v>
      </c>
      <c r="O21" s="9">
        <f t="shared" si="5"/>
        <v>5</v>
      </c>
      <c r="P21" s="30">
        <v>2.0</v>
      </c>
      <c r="Q21" s="32">
        <v>8.0</v>
      </c>
      <c r="R21" s="13">
        <f t="shared" si="6"/>
        <v>10</v>
      </c>
      <c r="S21" s="13" t="str">
        <f t="shared" si="7"/>
        <v>Eligible</v>
      </c>
    </row>
    <row r="22">
      <c r="A22" s="1">
        <v>15.0</v>
      </c>
      <c r="B22" s="9">
        <v>131.0</v>
      </c>
      <c r="C22" s="29" t="s">
        <v>52</v>
      </c>
      <c r="D22" s="30">
        <v>54.0</v>
      </c>
      <c r="E22" s="30">
        <v>22.0</v>
      </c>
      <c r="F22" s="30">
        <v>16.0</v>
      </c>
      <c r="G22" s="31">
        <f t="shared" si="1"/>
        <v>79</v>
      </c>
      <c r="H22" s="31">
        <f t="shared" si="2"/>
        <v>1</v>
      </c>
      <c r="I22" s="30">
        <v>120.0</v>
      </c>
      <c r="J22" s="9">
        <f t="shared" si="3"/>
        <v>4</v>
      </c>
      <c r="K22" s="30">
        <v>2.0</v>
      </c>
      <c r="L22" s="9">
        <f t="shared" si="4"/>
        <v>7</v>
      </c>
      <c r="M22" s="30">
        <v>1.0</v>
      </c>
      <c r="N22" s="30">
        <v>4.0</v>
      </c>
      <c r="O22" s="9">
        <f t="shared" si="5"/>
        <v>5</v>
      </c>
      <c r="P22" s="30">
        <v>2.0</v>
      </c>
      <c r="Q22" s="32">
        <v>8.0</v>
      </c>
      <c r="R22" s="13">
        <f t="shared" si="6"/>
        <v>10</v>
      </c>
      <c r="S22" s="13" t="str">
        <f t="shared" si="7"/>
        <v>Eligible</v>
      </c>
    </row>
    <row r="23">
      <c r="A23" s="1">
        <v>16.0</v>
      </c>
      <c r="B23" s="9">
        <v>134.0</v>
      </c>
      <c r="C23" s="33" t="s">
        <v>53</v>
      </c>
      <c r="D23" s="30">
        <v>57.0</v>
      </c>
      <c r="E23" s="30">
        <v>24.0</v>
      </c>
      <c r="F23" s="30">
        <v>18.0</v>
      </c>
      <c r="G23" s="31">
        <f t="shared" si="1"/>
        <v>85</v>
      </c>
      <c r="H23" s="31">
        <f t="shared" si="2"/>
        <v>2</v>
      </c>
      <c r="I23" s="30">
        <v>115.0</v>
      </c>
      <c r="J23" s="9">
        <f t="shared" si="3"/>
        <v>4</v>
      </c>
      <c r="K23" s="30">
        <v>2.0</v>
      </c>
      <c r="L23" s="9">
        <f t="shared" si="4"/>
        <v>8</v>
      </c>
      <c r="M23" s="30">
        <v>1.0</v>
      </c>
      <c r="N23" s="30">
        <v>4.0</v>
      </c>
      <c r="O23" s="9">
        <f t="shared" si="5"/>
        <v>5</v>
      </c>
      <c r="P23" s="30">
        <v>2.0</v>
      </c>
      <c r="Q23" s="32">
        <v>8.0</v>
      </c>
      <c r="R23" s="13">
        <f t="shared" si="6"/>
        <v>10</v>
      </c>
      <c r="S23" s="13" t="str">
        <f t="shared" si="7"/>
        <v>Eligible</v>
      </c>
    </row>
    <row r="24">
      <c r="A24" s="1">
        <v>17.0</v>
      </c>
      <c r="B24" s="9">
        <v>136.0</v>
      </c>
      <c r="C24" s="33" t="s">
        <v>54</v>
      </c>
      <c r="D24" s="30">
        <v>66.0</v>
      </c>
      <c r="E24" s="30">
        <v>26.0</v>
      </c>
      <c r="F24" s="30">
        <v>20.0</v>
      </c>
      <c r="G24" s="31">
        <f t="shared" si="1"/>
        <v>97</v>
      </c>
      <c r="H24" s="31">
        <f t="shared" si="2"/>
        <v>2</v>
      </c>
      <c r="I24" s="30">
        <v>118.0</v>
      </c>
      <c r="J24" s="9">
        <f t="shared" si="3"/>
        <v>4</v>
      </c>
      <c r="K24" s="30">
        <v>2.0</v>
      </c>
      <c r="L24" s="9">
        <f t="shared" si="4"/>
        <v>8</v>
      </c>
      <c r="M24" s="30">
        <v>1.0</v>
      </c>
      <c r="N24" s="30">
        <v>4.0</v>
      </c>
      <c r="O24" s="9">
        <f t="shared" si="5"/>
        <v>5</v>
      </c>
      <c r="P24" s="30">
        <v>2.0</v>
      </c>
      <c r="Q24" s="32">
        <v>8.0</v>
      </c>
      <c r="R24" s="13">
        <f t="shared" si="6"/>
        <v>10</v>
      </c>
      <c r="S24" s="13" t="str">
        <f t="shared" si="7"/>
        <v>Eligible</v>
      </c>
    </row>
    <row r="25">
      <c r="A25" s="1">
        <v>18.0</v>
      </c>
      <c r="B25" s="9">
        <v>137.0</v>
      </c>
      <c r="C25" s="33" t="s">
        <v>55</v>
      </c>
      <c r="D25" s="30">
        <v>54.0</v>
      </c>
      <c r="E25" s="30">
        <v>20.0</v>
      </c>
      <c r="F25" s="30">
        <v>16.0</v>
      </c>
      <c r="G25" s="31">
        <f t="shared" si="1"/>
        <v>78</v>
      </c>
      <c r="H25" s="31">
        <f t="shared" si="2"/>
        <v>1</v>
      </c>
      <c r="I25" s="30">
        <v>122.0</v>
      </c>
      <c r="J25" s="9">
        <f t="shared" si="3"/>
        <v>4</v>
      </c>
      <c r="K25" s="30">
        <v>2.0</v>
      </c>
      <c r="L25" s="9">
        <f t="shared" si="4"/>
        <v>7</v>
      </c>
      <c r="M25" s="30">
        <v>1.0</v>
      </c>
      <c r="N25" s="30">
        <v>4.0</v>
      </c>
      <c r="O25" s="9">
        <f t="shared" si="5"/>
        <v>5</v>
      </c>
      <c r="P25" s="30">
        <v>2.0</v>
      </c>
      <c r="Q25" s="32">
        <v>8.0</v>
      </c>
      <c r="R25" s="13">
        <f t="shared" si="6"/>
        <v>10</v>
      </c>
      <c r="S25" s="13" t="str">
        <f t="shared" si="7"/>
        <v>Eligible</v>
      </c>
    </row>
    <row r="26">
      <c r="A26" s="1">
        <v>19.0</v>
      </c>
      <c r="B26" s="9">
        <v>138.0</v>
      </c>
      <c r="C26" s="33" t="s">
        <v>56</v>
      </c>
      <c r="D26" s="30">
        <v>61.0</v>
      </c>
      <c r="E26" s="30">
        <v>22.0</v>
      </c>
      <c r="F26" s="30">
        <v>18.0</v>
      </c>
      <c r="G26" s="31">
        <f t="shared" si="1"/>
        <v>87</v>
      </c>
      <c r="H26" s="31">
        <f t="shared" si="2"/>
        <v>2</v>
      </c>
      <c r="I26" s="30">
        <v>120.0</v>
      </c>
      <c r="J26" s="9">
        <f t="shared" si="3"/>
        <v>4</v>
      </c>
      <c r="K26" s="30">
        <v>2.0</v>
      </c>
      <c r="L26" s="9">
        <f t="shared" si="4"/>
        <v>8</v>
      </c>
      <c r="M26" s="30">
        <v>1.0</v>
      </c>
      <c r="N26" s="30">
        <v>4.0</v>
      </c>
      <c r="O26" s="9">
        <f t="shared" si="5"/>
        <v>5</v>
      </c>
      <c r="P26" s="30">
        <v>2.0</v>
      </c>
      <c r="Q26" s="32">
        <v>8.0</v>
      </c>
      <c r="R26" s="13">
        <f t="shared" si="6"/>
        <v>10</v>
      </c>
      <c r="S26" s="13" t="str">
        <f t="shared" si="7"/>
        <v>Eligible</v>
      </c>
    </row>
    <row r="27">
      <c r="A27" s="1">
        <v>20.0</v>
      </c>
      <c r="B27" s="9">
        <v>140.0</v>
      </c>
      <c r="C27" s="33" t="s">
        <v>57</v>
      </c>
      <c r="D27" s="30">
        <v>54.0</v>
      </c>
      <c r="E27" s="30">
        <v>24.0</v>
      </c>
      <c r="F27" s="30">
        <v>20.0</v>
      </c>
      <c r="G27" s="31">
        <f t="shared" si="1"/>
        <v>84</v>
      </c>
      <c r="H27" s="31">
        <f t="shared" si="2"/>
        <v>2</v>
      </c>
      <c r="I27" s="30">
        <v>128.0</v>
      </c>
      <c r="J27" s="9">
        <f t="shared" si="3"/>
        <v>5</v>
      </c>
      <c r="K27" s="30">
        <v>2.0</v>
      </c>
      <c r="L27" s="9">
        <f t="shared" si="4"/>
        <v>9</v>
      </c>
      <c r="M27" s="30">
        <v>1.0</v>
      </c>
      <c r="N27" s="30">
        <v>4.0</v>
      </c>
      <c r="O27" s="9">
        <f t="shared" si="5"/>
        <v>5</v>
      </c>
      <c r="P27" s="30">
        <v>2.0</v>
      </c>
      <c r="Q27" s="32">
        <v>8.0</v>
      </c>
      <c r="R27" s="13">
        <f t="shared" si="6"/>
        <v>10</v>
      </c>
      <c r="S27" s="13" t="str">
        <f t="shared" si="7"/>
        <v>Eligible</v>
      </c>
    </row>
    <row r="28">
      <c r="A28" s="1">
        <v>21.0</v>
      </c>
      <c r="B28" s="9">
        <v>141.0</v>
      </c>
      <c r="C28" s="33" t="s">
        <v>58</v>
      </c>
      <c r="D28" s="30">
        <v>51.0</v>
      </c>
      <c r="E28" s="30">
        <v>20.0</v>
      </c>
      <c r="F28" s="30">
        <v>16.0</v>
      </c>
      <c r="G28" s="31">
        <f t="shared" si="1"/>
        <v>75</v>
      </c>
      <c r="H28" s="31">
        <f t="shared" si="2"/>
        <v>1</v>
      </c>
      <c r="I28" s="30">
        <v>124.0</v>
      </c>
      <c r="J28" s="9">
        <f t="shared" si="3"/>
        <v>4</v>
      </c>
      <c r="K28" s="30">
        <v>2.0</v>
      </c>
      <c r="L28" s="9">
        <f t="shared" si="4"/>
        <v>7</v>
      </c>
      <c r="M28" s="30">
        <v>1.0</v>
      </c>
      <c r="N28" s="30">
        <v>4.0</v>
      </c>
      <c r="O28" s="9">
        <f t="shared" si="5"/>
        <v>5</v>
      </c>
      <c r="P28" s="30">
        <v>2.0</v>
      </c>
      <c r="Q28" s="32">
        <v>8.0</v>
      </c>
      <c r="R28" s="13">
        <f t="shared" si="6"/>
        <v>10</v>
      </c>
      <c r="S28" s="13" t="str">
        <f t="shared" si="7"/>
        <v>Eligible</v>
      </c>
    </row>
    <row r="29">
      <c r="A29" s="1">
        <v>22.0</v>
      </c>
      <c r="B29" s="9">
        <v>144.0</v>
      </c>
      <c r="C29" s="33" t="s">
        <v>59</v>
      </c>
      <c r="D29" s="30">
        <v>62.0</v>
      </c>
      <c r="E29" s="30">
        <v>20.0</v>
      </c>
      <c r="F29" s="30">
        <v>18.0</v>
      </c>
      <c r="G29" s="31">
        <f t="shared" si="1"/>
        <v>86</v>
      </c>
      <c r="H29" s="31">
        <f t="shared" si="2"/>
        <v>2</v>
      </c>
      <c r="I29" s="30">
        <v>115.0</v>
      </c>
      <c r="J29" s="9">
        <f t="shared" si="3"/>
        <v>4</v>
      </c>
      <c r="K29" s="30">
        <v>2.0</v>
      </c>
      <c r="L29" s="9">
        <f t="shared" si="4"/>
        <v>8</v>
      </c>
      <c r="M29" s="30">
        <v>1.0</v>
      </c>
      <c r="N29" s="30">
        <v>4.0</v>
      </c>
      <c r="O29" s="9">
        <f t="shared" si="5"/>
        <v>5</v>
      </c>
      <c r="P29" s="30">
        <v>2.0</v>
      </c>
      <c r="Q29" s="32">
        <v>8.0</v>
      </c>
      <c r="R29" s="13">
        <f t="shared" si="6"/>
        <v>10</v>
      </c>
      <c r="S29" s="13" t="str">
        <f t="shared" si="7"/>
        <v>Eligible</v>
      </c>
    </row>
    <row r="30">
      <c r="A30" s="1">
        <v>23.0</v>
      </c>
      <c r="B30" s="9">
        <v>146.0</v>
      </c>
      <c r="C30" s="33" t="s">
        <v>60</v>
      </c>
      <c r="D30" s="30">
        <v>53.0</v>
      </c>
      <c r="E30" s="30">
        <v>18.0</v>
      </c>
      <c r="F30" s="30">
        <v>18.0</v>
      </c>
      <c r="G30" s="31">
        <f t="shared" si="1"/>
        <v>77</v>
      </c>
      <c r="H30" s="31">
        <f t="shared" si="2"/>
        <v>1</v>
      </c>
      <c r="I30" s="30">
        <v>116.0</v>
      </c>
      <c r="J30" s="9">
        <f t="shared" si="3"/>
        <v>4</v>
      </c>
      <c r="K30" s="30">
        <v>2.0</v>
      </c>
      <c r="L30" s="9">
        <f t="shared" si="4"/>
        <v>7</v>
      </c>
      <c r="M30" s="30">
        <v>1.0</v>
      </c>
      <c r="N30" s="30">
        <v>4.0</v>
      </c>
      <c r="O30" s="9">
        <f t="shared" si="5"/>
        <v>5</v>
      </c>
      <c r="P30" s="30">
        <v>2.0</v>
      </c>
      <c r="Q30" s="32">
        <v>8.0</v>
      </c>
      <c r="R30" s="13">
        <f t="shared" si="6"/>
        <v>10</v>
      </c>
      <c r="S30" s="13" t="str">
        <f t="shared" si="7"/>
        <v>Eligible</v>
      </c>
    </row>
    <row r="31">
      <c r="A31" s="1">
        <v>24.0</v>
      </c>
      <c r="B31" s="9">
        <v>147.0</v>
      </c>
      <c r="C31" s="33" t="s">
        <v>61</v>
      </c>
      <c r="D31" s="30">
        <v>51.0</v>
      </c>
      <c r="E31" s="30">
        <v>22.0</v>
      </c>
      <c r="F31" s="30">
        <v>18.0</v>
      </c>
      <c r="G31" s="31">
        <f t="shared" si="1"/>
        <v>78</v>
      </c>
      <c r="H31" s="31">
        <f t="shared" si="2"/>
        <v>1</v>
      </c>
      <c r="I31" s="30">
        <v>123.0</v>
      </c>
      <c r="J31" s="9">
        <f t="shared" si="3"/>
        <v>4</v>
      </c>
      <c r="K31" s="30">
        <v>2.0</v>
      </c>
      <c r="L31" s="9">
        <f t="shared" si="4"/>
        <v>7</v>
      </c>
      <c r="M31" s="30">
        <v>1.0</v>
      </c>
      <c r="N31" s="30">
        <v>4.0</v>
      </c>
      <c r="O31" s="9">
        <f t="shared" si="5"/>
        <v>5</v>
      </c>
      <c r="P31" s="30">
        <v>2.0</v>
      </c>
      <c r="Q31" s="32">
        <v>8.0</v>
      </c>
      <c r="R31" s="13">
        <f t="shared" si="6"/>
        <v>10</v>
      </c>
      <c r="S31" s="13" t="str">
        <f t="shared" si="7"/>
        <v>Eligible</v>
      </c>
    </row>
    <row r="32">
      <c r="A32" s="1">
        <v>25.0</v>
      </c>
      <c r="B32" s="9">
        <v>148.0</v>
      </c>
      <c r="C32" s="33" t="s">
        <v>62</v>
      </c>
      <c r="D32" s="30">
        <v>63.0</v>
      </c>
      <c r="E32" s="30">
        <v>22.0</v>
      </c>
      <c r="F32" s="30">
        <v>20.0</v>
      </c>
      <c r="G32" s="31">
        <f t="shared" si="1"/>
        <v>91</v>
      </c>
      <c r="H32" s="31">
        <f t="shared" si="2"/>
        <v>2</v>
      </c>
      <c r="I32" s="30">
        <v>125.0</v>
      </c>
      <c r="J32" s="9">
        <f t="shared" si="3"/>
        <v>5</v>
      </c>
      <c r="K32" s="30">
        <v>2.0</v>
      </c>
      <c r="L32" s="9">
        <f t="shared" si="4"/>
        <v>9</v>
      </c>
      <c r="M32" s="30">
        <v>1.0</v>
      </c>
      <c r="N32" s="30">
        <v>4.0</v>
      </c>
      <c r="O32" s="9">
        <f t="shared" si="5"/>
        <v>5</v>
      </c>
      <c r="P32" s="30">
        <v>2.0</v>
      </c>
      <c r="Q32" s="32">
        <v>8.0</v>
      </c>
      <c r="R32" s="13">
        <f t="shared" si="6"/>
        <v>10</v>
      </c>
      <c r="S32" s="13" t="str">
        <f t="shared" si="7"/>
        <v>Eligible</v>
      </c>
    </row>
    <row r="33">
      <c r="A33" s="1">
        <v>26.0</v>
      </c>
      <c r="B33" s="9">
        <v>150.0</v>
      </c>
      <c r="C33" s="33" t="s">
        <v>63</v>
      </c>
      <c r="D33" s="30">
        <v>51.0</v>
      </c>
      <c r="E33" s="30">
        <v>24.0</v>
      </c>
      <c r="F33" s="30">
        <v>12.0</v>
      </c>
      <c r="G33" s="31">
        <f t="shared" si="1"/>
        <v>75</v>
      </c>
      <c r="H33" s="31">
        <f t="shared" si="2"/>
        <v>1</v>
      </c>
      <c r="I33" s="30">
        <v>118.0</v>
      </c>
      <c r="J33" s="9">
        <f t="shared" si="3"/>
        <v>4</v>
      </c>
      <c r="K33" s="30">
        <v>2.0</v>
      </c>
      <c r="L33" s="9">
        <f t="shared" si="4"/>
        <v>7</v>
      </c>
      <c r="M33" s="30">
        <v>1.0</v>
      </c>
      <c r="N33" s="30">
        <v>4.0</v>
      </c>
      <c r="O33" s="9">
        <f t="shared" si="5"/>
        <v>5</v>
      </c>
      <c r="P33" s="30">
        <v>2.0</v>
      </c>
      <c r="Q33" s="32">
        <v>8.0</v>
      </c>
      <c r="R33" s="13">
        <f t="shared" si="6"/>
        <v>10</v>
      </c>
      <c r="S33" s="13" t="str">
        <f t="shared" si="7"/>
        <v>Eligible</v>
      </c>
    </row>
    <row r="34">
      <c r="A34" s="1">
        <v>27.0</v>
      </c>
      <c r="B34" s="9">
        <v>153.0</v>
      </c>
      <c r="C34" s="33" t="s">
        <v>64</v>
      </c>
      <c r="D34" s="30">
        <v>49.0</v>
      </c>
      <c r="E34" s="30">
        <v>20.0</v>
      </c>
      <c r="F34" s="30">
        <v>18.0</v>
      </c>
      <c r="G34" s="31">
        <f t="shared" si="1"/>
        <v>75</v>
      </c>
      <c r="H34" s="31">
        <f t="shared" si="2"/>
        <v>1</v>
      </c>
      <c r="I34" s="30">
        <v>119.0</v>
      </c>
      <c r="J34" s="9">
        <f t="shared" si="3"/>
        <v>4</v>
      </c>
      <c r="K34" s="30">
        <v>2.0</v>
      </c>
      <c r="L34" s="9">
        <f t="shared" si="4"/>
        <v>7</v>
      </c>
      <c r="M34" s="30">
        <v>1.0</v>
      </c>
      <c r="N34" s="30">
        <v>4.0</v>
      </c>
      <c r="O34" s="9">
        <f t="shared" si="5"/>
        <v>5</v>
      </c>
      <c r="P34" s="30">
        <v>2.0</v>
      </c>
      <c r="Q34" s="32">
        <v>8.0</v>
      </c>
      <c r="R34" s="13">
        <f t="shared" si="6"/>
        <v>10</v>
      </c>
      <c r="S34" s="13" t="str">
        <f t="shared" si="7"/>
        <v>Eligible</v>
      </c>
    </row>
    <row r="35">
      <c r="A35" s="1">
        <v>28.0</v>
      </c>
      <c r="B35" s="9">
        <v>156.0</v>
      </c>
      <c r="C35" s="33" t="s">
        <v>65</v>
      </c>
      <c r="D35" s="30">
        <v>50.0</v>
      </c>
      <c r="E35" s="30">
        <v>22.0</v>
      </c>
      <c r="F35" s="30">
        <v>16.0</v>
      </c>
      <c r="G35" s="31">
        <f t="shared" si="1"/>
        <v>76</v>
      </c>
      <c r="H35" s="31">
        <f t="shared" si="2"/>
        <v>1</v>
      </c>
      <c r="I35" s="30">
        <v>117.0</v>
      </c>
      <c r="J35" s="9">
        <f t="shared" si="3"/>
        <v>4</v>
      </c>
      <c r="K35" s="30">
        <v>2.0</v>
      </c>
      <c r="L35" s="9">
        <f t="shared" si="4"/>
        <v>7</v>
      </c>
      <c r="M35" s="30">
        <v>1.0</v>
      </c>
      <c r="N35" s="30">
        <v>4.0</v>
      </c>
      <c r="O35" s="9">
        <f t="shared" si="5"/>
        <v>5</v>
      </c>
      <c r="P35" s="30">
        <v>2.0</v>
      </c>
      <c r="Q35" s="32">
        <v>8.0</v>
      </c>
      <c r="R35" s="13">
        <f t="shared" si="6"/>
        <v>10</v>
      </c>
      <c r="S35" s="13" t="str">
        <f t="shared" si="7"/>
        <v>Eligible</v>
      </c>
    </row>
    <row r="36">
      <c r="A36" s="1">
        <v>29.0</v>
      </c>
      <c r="B36" s="9">
        <v>157.0</v>
      </c>
      <c r="C36" s="33" t="s">
        <v>66</v>
      </c>
      <c r="D36" s="30">
        <v>53.0</v>
      </c>
      <c r="E36" s="30">
        <v>20.0</v>
      </c>
      <c r="F36" s="30">
        <v>16.0</v>
      </c>
      <c r="G36" s="31">
        <f t="shared" si="1"/>
        <v>77</v>
      </c>
      <c r="H36" s="31">
        <f t="shared" si="2"/>
        <v>1</v>
      </c>
      <c r="I36" s="30">
        <v>117.0</v>
      </c>
      <c r="J36" s="9">
        <f t="shared" si="3"/>
        <v>4</v>
      </c>
      <c r="K36" s="30">
        <v>2.0</v>
      </c>
      <c r="L36" s="9">
        <f t="shared" si="4"/>
        <v>7</v>
      </c>
      <c r="M36" s="30">
        <v>1.0</v>
      </c>
      <c r="N36" s="30">
        <v>4.0</v>
      </c>
      <c r="O36" s="9">
        <f t="shared" si="5"/>
        <v>5</v>
      </c>
      <c r="P36" s="30">
        <v>2.0</v>
      </c>
      <c r="Q36" s="32">
        <v>8.0</v>
      </c>
      <c r="R36" s="13">
        <f t="shared" si="6"/>
        <v>10</v>
      </c>
      <c r="S36" s="13" t="str">
        <f t="shared" si="7"/>
        <v>Eligible</v>
      </c>
    </row>
    <row r="37">
      <c r="A37" s="1">
        <v>30.0</v>
      </c>
      <c r="B37" s="9">
        <v>159.0</v>
      </c>
      <c r="C37" s="33" t="s">
        <v>67</v>
      </c>
      <c r="D37" s="30">
        <v>49.0</v>
      </c>
      <c r="E37" s="30">
        <v>20.0</v>
      </c>
      <c r="F37" s="30">
        <v>18.0</v>
      </c>
      <c r="G37" s="31">
        <f t="shared" si="1"/>
        <v>75</v>
      </c>
      <c r="H37" s="31">
        <f t="shared" si="2"/>
        <v>1</v>
      </c>
      <c r="I37" s="30">
        <v>118.0</v>
      </c>
      <c r="J37" s="9">
        <f t="shared" si="3"/>
        <v>4</v>
      </c>
      <c r="K37" s="30">
        <v>2.0</v>
      </c>
      <c r="L37" s="9">
        <f t="shared" si="4"/>
        <v>7</v>
      </c>
      <c r="M37" s="30">
        <v>1.0</v>
      </c>
      <c r="N37" s="30">
        <v>4.0</v>
      </c>
      <c r="O37" s="9">
        <f t="shared" si="5"/>
        <v>5</v>
      </c>
      <c r="P37" s="30">
        <v>2.0</v>
      </c>
      <c r="Q37" s="32">
        <v>8.0</v>
      </c>
      <c r="R37" s="13">
        <f t="shared" si="6"/>
        <v>10</v>
      </c>
      <c r="S37" s="13" t="str">
        <f t="shared" si="7"/>
        <v>Eligible</v>
      </c>
    </row>
    <row r="38">
      <c r="A38" s="1">
        <v>31.0</v>
      </c>
      <c r="B38" s="9">
        <v>161.0</v>
      </c>
      <c r="C38" s="33" t="s">
        <v>68</v>
      </c>
      <c r="D38" s="30">
        <v>49.0</v>
      </c>
      <c r="E38" s="30">
        <v>20.0</v>
      </c>
      <c r="F38" s="30">
        <v>18.0</v>
      </c>
      <c r="G38" s="31">
        <f t="shared" si="1"/>
        <v>75</v>
      </c>
      <c r="H38" s="31">
        <f t="shared" si="2"/>
        <v>1</v>
      </c>
      <c r="I38" s="30">
        <v>117.0</v>
      </c>
      <c r="J38" s="9">
        <f t="shared" si="3"/>
        <v>4</v>
      </c>
      <c r="K38" s="30">
        <v>2.0</v>
      </c>
      <c r="L38" s="9">
        <f t="shared" si="4"/>
        <v>7</v>
      </c>
      <c r="M38" s="30">
        <v>1.0</v>
      </c>
      <c r="N38" s="30">
        <v>4.0</v>
      </c>
      <c r="O38" s="9">
        <f t="shared" si="5"/>
        <v>5</v>
      </c>
      <c r="P38" s="30">
        <v>2.0</v>
      </c>
      <c r="Q38" s="32">
        <v>8.0</v>
      </c>
      <c r="R38" s="13">
        <f t="shared" si="6"/>
        <v>10</v>
      </c>
      <c r="S38" s="13" t="str">
        <f t="shared" si="7"/>
        <v>Eligible</v>
      </c>
    </row>
    <row r="39">
      <c r="A39" s="1">
        <v>32.0</v>
      </c>
      <c r="B39" s="9">
        <v>163.0</v>
      </c>
      <c r="C39" s="33" t="s">
        <v>69</v>
      </c>
      <c r="D39" s="30">
        <v>53.0</v>
      </c>
      <c r="E39" s="30">
        <v>20.0</v>
      </c>
      <c r="F39" s="30">
        <v>18.0</v>
      </c>
      <c r="G39" s="31">
        <f t="shared" si="1"/>
        <v>78</v>
      </c>
      <c r="H39" s="31">
        <f t="shared" si="2"/>
        <v>1</v>
      </c>
      <c r="I39" s="30">
        <v>119.0</v>
      </c>
      <c r="J39" s="9">
        <f t="shared" si="3"/>
        <v>4</v>
      </c>
      <c r="K39" s="30">
        <v>2.0</v>
      </c>
      <c r="L39" s="9">
        <f t="shared" si="4"/>
        <v>7</v>
      </c>
      <c r="M39" s="30">
        <v>1.0</v>
      </c>
      <c r="N39" s="30">
        <v>4.0</v>
      </c>
      <c r="O39" s="9">
        <f t="shared" si="5"/>
        <v>5</v>
      </c>
      <c r="P39" s="30">
        <v>2.0</v>
      </c>
      <c r="Q39" s="32">
        <v>8.0</v>
      </c>
      <c r="R39" s="13">
        <f t="shared" si="6"/>
        <v>10</v>
      </c>
      <c r="S39" s="13" t="str">
        <f t="shared" si="7"/>
        <v>Eligible</v>
      </c>
    </row>
    <row r="40">
      <c r="A40" s="1">
        <v>33.0</v>
      </c>
      <c r="B40" s="9">
        <v>168.0</v>
      </c>
      <c r="C40" s="33" t="s">
        <v>70</v>
      </c>
      <c r="D40" s="30">
        <v>51.0</v>
      </c>
      <c r="E40" s="30">
        <v>24.0</v>
      </c>
      <c r="F40" s="30">
        <v>20.0</v>
      </c>
      <c r="G40" s="31">
        <f t="shared" si="1"/>
        <v>82</v>
      </c>
      <c r="H40" s="31">
        <f t="shared" si="2"/>
        <v>2</v>
      </c>
      <c r="I40" s="30">
        <v>118.0</v>
      </c>
      <c r="J40" s="9">
        <f t="shared" si="3"/>
        <v>4</v>
      </c>
      <c r="K40" s="30">
        <v>2.0</v>
      </c>
      <c r="L40" s="9">
        <f t="shared" si="4"/>
        <v>8</v>
      </c>
      <c r="M40" s="30">
        <v>1.0</v>
      </c>
      <c r="N40" s="30">
        <v>4.0</v>
      </c>
      <c r="O40" s="9">
        <f t="shared" si="5"/>
        <v>5</v>
      </c>
      <c r="P40" s="30">
        <v>2.0</v>
      </c>
      <c r="Q40" s="32">
        <v>8.0</v>
      </c>
      <c r="R40" s="13">
        <f t="shared" si="6"/>
        <v>10</v>
      </c>
      <c r="S40" s="13" t="str">
        <f t="shared" si="7"/>
        <v>Eligible</v>
      </c>
    </row>
    <row r="41">
      <c r="A41" s="1">
        <v>34.0</v>
      </c>
      <c r="B41" s="9">
        <v>173.0</v>
      </c>
      <c r="C41" s="33" t="s">
        <v>71</v>
      </c>
      <c r="D41" s="30">
        <v>50.0</v>
      </c>
      <c r="E41" s="30">
        <v>20.0</v>
      </c>
      <c r="F41" s="30">
        <v>18.0</v>
      </c>
      <c r="G41" s="31">
        <f t="shared" si="1"/>
        <v>76</v>
      </c>
      <c r="H41" s="31">
        <f t="shared" si="2"/>
        <v>1</v>
      </c>
      <c r="I41" s="30">
        <v>124.0</v>
      </c>
      <c r="J41" s="9">
        <f t="shared" si="3"/>
        <v>4</v>
      </c>
      <c r="K41" s="30">
        <v>2.0</v>
      </c>
      <c r="L41" s="9">
        <f t="shared" si="4"/>
        <v>7</v>
      </c>
      <c r="M41" s="30">
        <v>1.0</v>
      </c>
      <c r="N41" s="30">
        <v>4.0</v>
      </c>
      <c r="O41" s="9">
        <f t="shared" si="5"/>
        <v>5</v>
      </c>
      <c r="P41" s="30">
        <v>2.0</v>
      </c>
      <c r="Q41" s="32">
        <v>8.0</v>
      </c>
      <c r="R41" s="13">
        <f t="shared" si="6"/>
        <v>10</v>
      </c>
      <c r="S41" s="13" t="str">
        <f t="shared" si="7"/>
        <v>Eligible</v>
      </c>
    </row>
    <row r="42">
      <c r="A42" s="1">
        <v>35.0</v>
      </c>
      <c r="B42" s="9">
        <v>174.0</v>
      </c>
      <c r="C42" s="33" t="s">
        <v>72</v>
      </c>
      <c r="D42" s="30">
        <v>50.0</v>
      </c>
      <c r="E42" s="30">
        <v>24.0</v>
      </c>
      <c r="F42" s="30">
        <v>22.0</v>
      </c>
      <c r="G42" s="31">
        <f t="shared" si="1"/>
        <v>83</v>
      </c>
      <c r="H42" s="31">
        <f t="shared" si="2"/>
        <v>2</v>
      </c>
      <c r="I42" s="30">
        <v>115.0</v>
      </c>
      <c r="J42" s="9">
        <f t="shared" si="3"/>
        <v>4</v>
      </c>
      <c r="K42" s="30">
        <v>2.0</v>
      </c>
      <c r="L42" s="9">
        <f t="shared" si="4"/>
        <v>8</v>
      </c>
      <c r="M42" s="30">
        <v>1.0</v>
      </c>
      <c r="N42" s="30">
        <v>4.0</v>
      </c>
      <c r="O42" s="9">
        <f t="shared" si="5"/>
        <v>5</v>
      </c>
      <c r="P42" s="30">
        <v>2.0</v>
      </c>
      <c r="Q42" s="32">
        <v>8.0</v>
      </c>
      <c r="R42" s="13">
        <f t="shared" si="6"/>
        <v>10</v>
      </c>
      <c r="S42" s="13" t="str">
        <f t="shared" si="7"/>
        <v>Eligible</v>
      </c>
    </row>
    <row r="43">
      <c r="A43" s="1">
        <v>36.0</v>
      </c>
      <c r="B43" s="9">
        <v>175.0</v>
      </c>
      <c r="C43" s="33" t="s">
        <v>73</v>
      </c>
      <c r="D43" s="30">
        <v>54.0</v>
      </c>
      <c r="E43" s="30">
        <v>20.0</v>
      </c>
      <c r="F43" s="30">
        <v>18.0</v>
      </c>
      <c r="G43" s="31">
        <f t="shared" si="1"/>
        <v>79</v>
      </c>
      <c r="H43" s="31">
        <f t="shared" si="2"/>
        <v>1</v>
      </c>
      <c r="I43" s="30">
        <v>117.0</v>
      </c>
      <c r="J43" s="9">
        <f t="shared" si="3"/>
        <v>4</v>
      </c>
      <c r="K43" s="30">
        <v>1.0</v>
      </c>
      <c r="L43" s="9">
        <f t="shared" si="4"/>
        <v>6</v>
      </c>
      <c r="M43" s="30">
        <v>1.0</v>
      </c>
      <c r="N43" s="30">
        <v>4.0</v>
      </c>
      <c r="O43" s="9">
        <f t="shared" si="5"/>
        <v>5</v>
      </c>
      <c r="P43" s="30">
        <v>2.0</v>
      </c>
      <c r="Q43" s="32">
        <v>8.0</v>
      </c>
      <c r="R43" s="13">
        <f t="shared" si="6"/>
        <v>10</v>
      </c>
      <c r="S43" s="13" t="str">
        <f t="shared" si="7"/>
        <v>Eligible</v>
      </c>
    </row>
    <row r="44">
      <c r="A44" s="1">
        <v>37.0</v>
      </c>
      <c r="B44" s="9">
        <v>179.0</v>
      </c>
      <c r="C44" s="33" t="s">
        <v>74</v>
      </c>
      <c r="D44" s="30">
        <v>52.0</v>
      </c>
      <c r="E44" s="30">
        <v>20.0</v>
      </c>
      <c r="F44" s="30">
        <v>16.0</v>
      </c>
      <c r="G44" s="31">
        <f t="shared" si="1"/>
        <v>76</v>
      </c>
      <c r="H44" s="31">
        <f t="shared" si="2"/>
        <v>1</v>
      </c>
      <c r="I44" s="30">
        <v>129.0</v>
      </c>
      <c r="J44" s="9">
        <f t="shared" si="3"/>
        <v>5</v>
      </c>
      <c r="K44" s="30">
        <v>2.0</v>
      </c>
      <c r="L44" s="9">
        <f t="shared" si="4"/>
        <v>8</v>
      </c>
      <c r="M44" s="30">
        <v>1.0</v>
      </c>
      <c r="N44" s="30">
        <v>4.0</v>
      </c>
      <c r="O44" s="9">
        <f t="shared" si="5"/>
        <v>5</v>
      </c>
      <c r="P44" s="30">
        <v>2.0</v>
      </c>
      <c r="Q44" s="32">
        <v>8.0</v>
      </c>
      <c r="R44" s="13">
        <f t="shared" si="6"/>
        <v>10</v>
      </c>
      <c r="S44" s="13" t="str">
        <f t="shared" si="7"/>
        <v>Eligible</v>
      </c>
    </row>
    <row r="45">
      <c r="A45" s="1">
        <v>38.0</v>
      </c>
      <c r="B45" s="9">
        <v>181.0</v>
      </c>
      <c r="C45" s="33" t="s">
        <v>75</v>
      </c>
      <c r="D45" s="30">
        <v>53.0</v>
      </c>
      <c r="E45" s="30">
        <v>20.0</v>
      </c>
      <c r="F45" s="30">
        <v>18.0</v>
      </c>
      <c r="G45" s="31">
        <f t="shared" si="1"/>
        <v>78</v>
      </c>
      <c r="H45" s="31">
        <f t="shared" si="2"/>
        <v>1</v>
      </c>
      <c r="I45" s="30">
        <v>135.0</v>
      </c>
      <c r="J45" s="9">
        <f t="shared" si="3"/>
        <v>6</v>
      </c>
      <c r="K45" s="30">
        <v>2.0</v>
      </c>
      <c r="L45" s="9">
        <f t="shared" si="4"/>
        <v>9</v>
      </c>
      <c r="M45" s="30">
        <v>1.0</v>
      </c>
      <c r="N45" s="30">
        <v>4.0</v>
      </c>
      <c r="O45" s="9">
        <f t="shared" si="5"/>
        <v>5</v>
      </c>
      <c r="P45" s="30">
        <v>2.0</v>
      </c>
      <c r="Q45" s="32">
        <v>8.0</v>
      </c>
      <c r="R45" s="13">
        <f t="shared" si="6"/>
        <v>10</v>
      </c>
      <c r="S45" s="13" t="str">
        <f t="shared" si="7"/>
        <v>Eligible</v>
      </c>
    </row>
    <row r="46">
      <c r="A46" s="1">
        <v>39.0</v>
      </c>
      <c r="B46" s="9">
        <v>183.0</v>
      </c>
      <c r="C46" s="33" t="s">
        <v>76</v>
      </c>
      <c r="D46" s="30">
        <v>50.0</v>
      </c>
      <c r="E46" s="30">
        <v>20.0</v>
      </c>
      <c r="F46" s="30">
        <v>18.0</v>
      </c>
      <c r="G46" s="31">
        <f t="shared" si="1"/>
        <v>76</v>
      </c>
      <c r="H46" s="31">
        <f t="shared" si="2"/>
        <v>1</v>
      </c>
      <c r="I46" s="30">
        <v>125.0</v>
      </c>
      <c r="J46" s="9">
        <f t="shared" si="3"/>
        <v>5</v>
      </c>
      <c r="K46" s="30">
        <v>2.0</v>
      </c>
      <c r="L46" s="9">
        <f t="shared" si="4"/>
        <v>8</v>
      </c>
      <c r="M46" s="30">
        <v>1.0</v>
      </c>
      <c r="N46" s="30">
        <v>4.0</v>
      </c>
      <c r="O46" s="9">
        <f t="shared" si="5"/>
        <v>5</v>
      </c>
      <c r="P46" s="30">
        <v>2.0</v>
      </c>
      <c r="Q46" s="32">
        <v>8.0</v>
      </c>
      <c r="R46" s="13">
        <f t="shared" si="6"/>
        <v>10</v>
      </c>
      <c r="S46" s="13" t="str">
        <f t="shared" si="7"/>
        <v>Eligible</v>
      </c>
    </row>
    <row r="47">
      <c r="A47" s="1">
        <v>40.0</v>
      </c>
      <c r="B47" s="9">
        <v>185.0</v>
      </c>
      <c r="C47" s="33" t="s">
        <v>77</v>
      </c>
      <c r="D47" s="30">
        <v>53.0</v>
      </c>
      <c r="E47" s="30">
        <v>20.0</v>
      </c>
      <c r="F47" s="30">
        <v>18.0</v>
      </c>
      <c r="G47" s="31">
        <f t="shared" si="1"/>
        <v>78</v>
      </c>
      <c r="H47" s="31">
        <f t="shared" si="2"/>
        <v>1</v>
      </c>
      <c r="I47" s="30">
        <v>134.0</v>
      </c>
      <c r="J47" s="9">
        <f t="shared" si="3"/>
        <v>5</v>
      </c>
      <c r="K47" s="30">
        <v>2.0</v>
      </c>
      <c r="L47" s="9">
        <f t="shared" si="4"/>
        <v>8</v>
      </c>
      <c r="M47" s="30">
        <v>1.0</v>
      </c>
      <c r="N47" s="30">
        <v>4.0</v>
      </c>
      <c r="O47" s="9">
        <f t="shared" si="5"/>
        <v>5</v>
      </c>
      <c r="P47" s="30">
        <v>2.0</v>
      </c>
      <c r="Q47" s="32">
        <v>8.0</v>
      </c>
      <c r="R47" s="13">
        <f t="shared" si="6"/>
        <v>10</v>
      </c>
      <c r="S47" s="13" t="str">
        <f t="shared" si="7"/>
        <v>Eligible</v>
      </c>
    </row>
    <row r="48">
      <c r="A48" s="1">
        <v>41.0</v>
      </c>
      <c r="B48" s="9">
        <v>186.0</v>
      </c>
      <c r="C48" s="33" t="s">
        <v>78</v>
      </c>
      <c r="D48" s="30">
        <v>60.0</v>
      </c>
      <c r="E48" s="30">
        <v>24.0</v>
      </c>
      <c r="F48" s="30">
        <v>22.0</v>
      </c>
      <c r="G48" s="31">
        <f t="shared" si="1"/>
        <v>91</v>
      </c>
      <c r="H48" s="31">
        <f t="shared" si="2"/>
        <v>2</v>
      </c>
      <c r="I48" s="30">
        <v>127.0</v>
      </c>
      <c r="J48" s="9">
        <f t="shared" si="3"/>
        <v>5</v>
      </c>
      <c r="K48" s="30">
        <v>2.0</v>
      </c>
      <c r="L48" s="9">
        <f t="shared" si="4"/>
        <v>9</v>
      </c>
      <c r="M48" s="30">
        <v>1.0</v>
      </c>
      <c r="N48" s="30">
        <v>4.0</v>
      </c>
      <c r="O48" s="9">
        <f t="shared" si="5"/>
        <v>5</v>
      </c>
      <c r="P48" s="30">
        <v>2.0</v>
      </c>
      <c r="Q48" s="32">
        <v>8.0</v>
      </c>
      <c r="R48" s="13">
        <f t="shared" si="6"/>
        <v>10</v>
      </c>
      <c r="S48" s="13" t="str">
        <f t="shared" si="7"/>
        <v>Eligible</v>
      </c>
    </row>
    <row r="49">
      <c r="A49" s="1">
        <v>42.0</v>
      </c>
      <c r="B49" s="9">
        <v>187.0</v>
      </c>
      <c r="C49" s="33" t="s">
        <v>79</v>
      </c>
      <c r="D49" s="30">
        <v>51.0</v>
      </c>
      <c r="E49" s="30">
        <v>20.0</v>
      </c>
      <c r="F49" s="30">
        <v>18.0</v>
      </c>
      <c r="G49" s="31">
        <f t="shared" si="1"/>
        <v>77</v>
      </c>
      <c r="H49" s="31">
        <f t="shared" si="2"/>
        <v>1</v>
      </c>
      <c r="I49" s="30">
        <v>133.0</v>
      </c>
      <c r="J49" s="9">
        <f t="shared" si="3"/>
        <v>5</v>
      </c>
      <c r="K49" s="30">
        <v>2.0</v>
      </c>
      <c r="L49" s="9">
        <f t="shared" si="4"/>
        <v>8</v>
      </c>
      <c r="M49" s="30">
        <v>1.0</v>
      </c>
      <c r="N49" s="30">
        <v>4.0</v>
      </c>
      <c r="O49" s="9">
        <f t="shared" si="5"/>
        <v>5</v>
      </c>
      <c r="P49" s="30">
        <v>2.0</v>
      </c>
      <c r="Q49" s="32">
        <v>8.0</v>
      </c>
      <c r="R49" s="13">
        <f t="shared" si="6"/>
        <v>10</v>
      </c>
      <c r="S49" s="13" t="str">
        <f t="shared" si="7"/>
        <v>Eligible</v>
      </c>
    </row>
    <row r="50">
      <c r="A50" s="1">
        <v>43.0</v>
      </c>
      <c r="B50" s="9">
        <v>189.0</v>
      </c>
      <c r="C50" s="33" t="s">
        <v>80</v>
      </c>
      <c r="D50" s="30">
        <v>57.0</v>
      </c>
      <c r="E50" s="30">
        <v>24.0</v>
      </c>
      <c r="F50" s="30">
        <v>20.0</v>
      </c>
      <c r="G50" s="31">
        <f t="shared" si="1"/>
        <v>87</v>
      </c>
      <c r="H50" s="31">
        <f t="shared" si="2"/>
        <v>2</v>
      </c>
      <c r="I50" s="30">
        <v>114.0</v>
      </c>
      <c r="J50" s="9">
        <f t="shared" si="3"/>
        <v>4</v>
      </c>
      <c r="K50" s="30">
        <v>1.0</v>
      </c>
      <c r="L50" s="9">
        <f t="shared" si="4"/>
        <v>7</v>
      </c>
      <c r="M50" s="30">
        <v>1.0</v>
      </c>
      <c r="N50" s="30">
        <v>4.0</v>
      </c>
      <c r="O50" s="9">
        <f t="shared" si="5"/>
        <v>5</v>
      </c>
      <c r="P50" s="30">
        <v>2.0</v>
      </c>
      <c r="Q50" s="32">
        <v>8.0</v>
      </c>
      <c r="R50" s="13">
        <f t="shared" si="6"/>
        <v>10</v>
      </c>
      <c r="S50" s="13" t="str">
        <f t="shared" si="7"/>
        <v>Eligible</v>
      </c>
    </row>
    <row r="51">
      <c r="A51" s="1">
        <v>44.0</v>
      </c>
      <c r="B51" s="9">
        <v>191.0</v>
      </c>
      <c r="C51" s="33" t="s">
        <v>81</v>
      </c>
      <c r="D51" s="30">
        <v>59.0</v>
      </c>
      <c r="E51" s="30">
        <v>22.0</v>
      </c>
      <c r="F51" s="30">
        <v>20.0</v>
      </c>
      <c r="G51" s="31">
        <f t="shared" si="1"/>
        <v>87</v>
      </c>
      <c r="H51" s="31">
        <f t="shared" si="2"/>
        <v>2</v>
      </c>
      <c r="I51" s="30">
        <v>116.0</v>
      </c>
      <c r="J51" s="9">
        <f t="shared" si="3"/>
        <v>4</v>
      </c>
      <c r="K51" s="30">
        <v>1.0</v>
      </c>
      <c r="L51" s="9">
        <f t="shared" si="4"/>
        <v>7</v>
      </c>
      <c r="M51" s="30">
        <v>1.0</v>
      </c>
      <c r="N51" s="30">
        <v>4.0</v>
      </c>
      <c r="O51" s="9">
        <f t="shared" si="5"/>
        <v>5</v>
      </c>
      <c r="P51" s="30">
        <v>2.0</v>
      </c>
      <c r="Q51" s="32">
        <v>8.0</v>
      </c>
      <c r="R51" s="13">
        <f t="shared" si="6"/>
        <v>10</v>
      </c>
      <c r="S51" s="13" t="str">
        <f t="shared" si="7"/>
        <v>Eligible</v>
      </c>
    </row>
    <row r="52">
      <c r="A52" s="1">
        <v>45.0</v>
      </c>
      <c r="B52" s="9">
        <v>192.0</v>
      </c>
      <c r="C52" s="33" t="s">
        <v>82</v>
      </c>
      <c r="D52" s="30">
        <v>62.0</v>
      </c>
      <c r="E52" s="30">
        <v>26.0</v>
      </c>
      <c r="F52" s="30">
        <v>22.0</v>
      </c>
      <c r="G52" s="31">
        <f t="shared" si="1"/>
        <v>95</v>
      </c>
      <c r="H52" s="31">
        <f t="shared" si="2"/>
        <v>2</v>
      </c>
      <c r="I52" s="30">
        <v>116.0</v>
      </c>
      <c r="J52" s="9">
        <f t="shared" si="3"/>
        <v>4</v>
      </c>
      <c r="K52" s="30">
        <v>2.0</v>
      </c>
      <c r="L52" s="9">
        <f t="shared" si="4"/>
        <v>8</v>
      </c>
      <c r="M52" s="30">
        <v>1.0</v>
      </c>
      <c r="N52" s="30">
        <v>4.0</v>
      </c>
      <c r="O52" s="9">
        <f t="shared" si="5"/>
        <v>5</v>
      </c>
      <c r="P52" s="30">
        <v>2.0</v>
      </c>
      <c r="Q52" s="32">
        <v>8.0</v>
      </c>
      <c r="R52" s="13">
        <f t="shared" si="6"/>
        <v>10</v>
      </c>
      <c r="S52" s="13" t="str">
        <f t="shared" si="7"/>
        <v>Eligible</v>
      </c>
    </row>
    <row r="53">
      <c r="A53" s="1">
        <v>46.0</v>
      </c>
      <c r="B53" s="9">
        <v>194.0</v>
      </c>
      <c r="C53" s="33" t="s">
        <v>83</v>
      </c>
      <c r="D53" s="30">
        <v>55.0</v>
      </c>
      <c r="E53" s="30">
        <v>22.0</v>
      </c>
      <c r="F53" s="30">
        <v>16.0</v>
      </c>
      <c r="G53" s="31">
        <f t="shared" si="1"/>
        <v>80</v>
      </c>
      <c r="H53" s="31">
        <f t="shared" si="2"/>
        <v>2</v>
      </c>
      <c r="I53" s="30">
        <v>116.0</v>
      </c>
      <c r="J53" s="9">
        <f t="shared" si="3"/>
        <v>4</v>
      </c>
      <c r="K53" s="30">
        <v>2.0</v>
      </c>
      <c r="L53" s="9">
        <f t="shared" si="4"/>
        <v>8</v>
      </c>
      <c r="M53" s="30">
        <v>1.0</v>
      </c>
      <c r="N53" s="30">
        <v>4.0</v>
      </c>
      <c r="O53" s="9">
        <f t="shared" si="5"/>
        <v>5</v>
      </c>
      <c r="P53" s="30">
        <v>2.0</v>
      </c>
      <c r="Q53" s="32">
        <v>8.0</v>
      </c>
      <c r="R53" s="13">
        <f t="shared" si="6"/>
        <v>10</v>
      </c>
      <c r="S53" s="13" t="str">
        <f t="shared" si="7"/>
        <v>Eligible</v>
      </c>
    </row>
    <row r="54">
      <c r="A54" s="1">
        <v>47.0</v>
      </c>
      <c r="B54" s="9">
        <v>197.0</v>
      </c>
      <c r="C54" s="33" t="s">
        <v>84</v>
      </c>
      <c r="D54" s="30">
        <v>54.0</v>
      </c>
      <c r="E54" s="30">
        <v>20.0</v>
      </c>
      <c r="F54" s="30">
        <v>18.0</v>
      </c>
      <c r="G54" s="31">
        <f t="shared" si="1"/>
        <v>79</v>
      </c>
      <c r="H54" s="31">
        <f t="shared" si="2"/>
        <v>1</v>
      </c>
      <c r="I54" s="30">
        <v>119.0</v>
      </c>
      <c r="J54" s="9">
        <f t="shared" si="3"/>
        <v>4</v>
      </c>
      <c r="K54" s="30">
        <v>2.0</v>
      </c>
      <c r="L54" s="9">
        <f t="shared" si="4"/>
        <v>7</v>
      </c>
      <c r="M54" s="30">
        <v>1.0</v>
      </c>
      <c r="N54" s="30">
        <v>4.0</v>
      </c>
      <c r="O54" s="9">
        <f t="shared" si="5"/>
        <v>5</v>
      </c>
      <c r="P54" s="30">
        <v>2.0</v>
      </c>
      <c r="Q54" s="32">
        <v>8.0</v>
      </c>
      <c r="R54" s="13">
        <f t="shared" si="6"/>
        <v>10</v>
      </c>
      <c r="S54" s="13" t="str">
        <f t="shared" si="7"/>
        <v>Eligible</v>
      </c>
    </row>
    <row r="55">
      <c r="A55" s="1">
        <v>48.0</v>
      </c>
      <c r="B55" s="9">
        <v>198.0</v>
      </c>
      <c r="C55" s="33" t="s">
        <v>85</v>
      </c>
      <c r="D55" s="30">
        <v>56.0</v>
      </c>
      <c r="E55" s="30">
        <v>22.0</v>
      </c>
      <c r="F55" s="30">
        <v>18.0</v>
      </c>
      <c r="G55" s="31">
        <f t="shared" si="1"/>
        <v>83</v>
      </c>
      <c r="H55" s="31">
        <f t="shared" si="2"/>
        <v>2</v>
      </c>
      <c r="I55" s="30">
        <v>119.0</v>
      </c>
      <c r="J55" s="9">
        <f t="shared" si="3"/>
        <v>4</v>
      </c>
      <c r="K55" s="30">
        <v>2.0</v>
      </c>
      <c r="L55" s="9">
        <f t="shared" si="4"/>
        <v>8</v>
      </c>
      <c r="M55" s="30">
        <v>1.0</v>
      </c>
      <c r="N55" s="30">
        <v>4.0</v>
      </c>
      <c r="O55" s="9">
        <f t="shared" si="5"/>
        <v>5</v>
      </c>
      <c r="P55" s="30">
        <v>2.0</v>
      </c>
      <c r="Q55" s="32">
        <v>8.0</v>
      </c>
      <c r="R55" s="13">
        <f t="shared" si="6"/>
        <v>10</v>
      </c>
      <c r="S55" s="13" t="str">
        <f t="shared" si="7"/>
        <v>Eligible</v>
      </c>
    </row>
    <row r="56">
      <c r="A56" s="1">
        <v>49.0</v>
      </c>
      <c r="B56" s="9">
        <v>199.0</v>
      </c>
      <c r="C56" s="33" t="s">
        <v>86</v>
      </c>
      <c r="D56" s="30">
        <v>64.0</v>
      </c>
      <c r="E56" s="30">
        <v>24.0</v>
      </c>
      <c r="F56" s="30">
        <v>22.0</v>
      </c>
      <c r="G56" s="31">
        <f t="shared" si="1"/>
        <v>95</v>
      </c>
      <c r="H56" s="31">
        <f t="shared" si="2"/>
        <v>2</v>
      </c>
      <c r="I56" s="30">
        <v>123.0</v>
      </c>
      <c r="J56" s="9">
        <f t="shared" si="3"/>
        <v>4</v>
      </c>
      <c r="K56" s="30">
        <v>2.0</v>
      </c>
      <c r="L56" s="9">
        <f t="shared" si="4"/>
        <v>8</v>
      </c>
      <c r="M56" s="30">
        <v>1.0</v>
      </c>
      <c r="N56" s="30">
        <v>4.0</v>
      </c>
      <c r="O56" s="9">
        <f t="shared" si="5"/>
        <v>5</v>
      </c>
      <c r="P56" s="30">
        <v>2.0</v>
      </c>
      <c r="Q56" s="32">
        <v>8.0</v>
      </c>
      <c r="R56" s="13">
        <f t="shared" si="6"/>
        <v>10</v>
      </c>
      <c r="S56" s="13" t="str">
        <f t="shared" si="7"/>
        <v>Eligible</v>
      </c>
    </row>
    <row r="57">
      <c r="A57" s="1">
        <v>50.0</v>
      </c>
      <c r="B57" s="9">
        <v>201.0</v>
      </c>
      <c r="C57" s="33" t="s">
        <v>87</v>
      </c>
      <c r="D57" s="30">
        <v>52.0</v>
      </c>
      <c r="E57" s="30">
        <v>20.0</v>
      </c>
      <c r="F57" s="30">
        <v>18.0</v>
      </c>
      <c r="G57" s="31">
        <f t="shared" si="1"/>
        <v>78</v>
      </c>
      <c r="H57" s="31">
        <f t="shared" si="2"/>
        <v>1</v>
      </c>
      <c r="I57" s="30">
        <v>118.0</v>
      </c>
      <c r="J57" s="9">
        <f t="shared" si="3"/>
        <v>4</v>
      </c>
      <c r="K57" s="30">
        <v>2.0</v>
      </c>
      <c r="L57" s="9">
        <f t="shared" si="4"/>
        <v>7</v>
      </c>
      <c r="M57" s="30">
        <v>1.0</v>
      </c>
      <c r="N57" s="30">
        <v>4.0</v>
      </c>
      <c r="O57" s="9">
        <f t="shared" si="5"/>
        <v>5</v>
      </c>
      <c r="P57" s="30">
        <v>2.0</v>
      </c>
      <c r="Q57" s="32">
        <v>8.0</v>
      </c>
      <c r="R57" s="13">
        <f t="shared" si="6"/>
        <v>10</v>
      </c>
      <c r="S57" s="13" t="str">
        <f t="shared" si="7"/>
        <v>Eligible</v>
      </c>
    </row>
    <row r="58">
      <c r="A58" s="1">
        <v>51.0</v>
      </c>
      <c r="B58" s="9">
        <v>202.0</v>
      </c>
      <c r="C58" s="33" t="s">
        <v>88</v>
      </c>
      <c r="D58" s="30">
        <v>50.0</v>
      </c>
      <c r="E58" s="30">
        <v>20.0</v>
      </c>
      <c r="F58" s="30">
        <v>18.0</v>
      </c>
      <c r="G58" s="31">
        <f t="shared" si="1"/>
        <v>76</v>
      </c>
      <c r="H58" s="31">
        <f t="shared" si="2"/>
        <v>1</v>
      </c>
      <c r="I58" s="30">
        <v>125.0</v>
      </c>
      <c r="J58" s="9">
        <f t="shared" si="3"/>
        <v>5</v>
      </c>
      <c r="K58" s="30">
        <v>2.0</v>
      </c>
      <c r="L58" s="9">
        <f t="shared" si="4"/>
        <v>8</v>
      </c>
      <c r="M58" s="30">
        <v>1.0</v>
      </c>
      <c r="N58" s="30">
        <v>4.0</v>
      </c>
      <c r="O58" s="9">
        <f t="shared" si="5"/>
        <v>5</v>
      </c>
      <c r="P58" s="30">
        <v>2.0</v>
      </c>
      <c r="Q58" s="32">
        <v>8.0</v>
      </c>
      <c r="R58" s="13">
        <f t="shared" si="6"/>
        <v>10</v>
      </c>
      <c r="S58" s="13" t="str">
        <f t="shared" si="7"/>
        <v>Eligible</v>
      </c>
    </row>
    <row r="59">
      <c r="A59" s="1">
        <v>52.0</v>
      </c>
      <c r="B59" s="14">
        <v>203.0</v>
      </c>
      <c r="C59" s="34" t="s">
        <v>89</v>
      </c>
      <c r="D59" s="35">
        <v>54.0</v>
      </c>
      <c r="E59" s="35">
        <v>20.0</v>
      </c>
      <c r="F59" s="35">
        <v>18.0</v>
      </c>
      <c r="G59" s="36">
        <f t="shared" si="1"/>
        <v>79</v>
      </c>
      <c r="H59" s="36">
        <f t="shared" si="2"/>
        <v>1</v>
      </c>
      <c r="I59" s="35">
        <v>127.0</v>
      </c>
      <c r="J59" s="14">
        <f t="shared" si="3"/>
        <v>5</v>
      </c>
      <c r="K59" s="35">
        <v>2.0</v>
      </c>
      <c r="L59" s="14">
        <f t="shared" si="4"/>
        <v>8</v>
      </c>
      <c r="M59" s="35">
        <v>1.0</v>
      </c>
      <c r="N59" s="35">
        <v>4.0</v>
      </c>
      <c r="O59" s="14">
        <f t="shared" si="5"/>
        <v>5</v>
      </c>
      <c r="P59" s="35">
        <v>2.0</v>
      </c>
      <c r="Q59" s="37">
        <v>8.0</v>
      </c>
      <c r="R59" s="19">
        <f t="shared" si="6"/>
        <v>10</v>
      </c>
      <c r="S59" s="19" t="str">
        <f t="shared" si="7"/>
        <v>Eligible</v>
      </c>
    </row>
    <row r="60">
      <c r="A60" s="1">
        <v>53.0</v>
      </c>
      <c r="B60" s="9">
        <v>204.0</v>
      </c>
      <c r="C60" s="33" t="s">
        <v>90</v>
      </c>
      <c r="D60" s="30">
        <v>58.0</v>
      </c>
      <c r="E60" s="30">
        <v>26.0</v>
      </c>
      <c r="F60" s="30">
        <v>22.0</v>
      </c>
      <c r="G60" s="31">
        <f t="shared" si="1"/>
        <v>91</v>
      </c>
      <c r="H60" s="31">
        <f t="shared" si="2"/>
        <v>2</v>
      </c>
      <c r="I60" s="30">
        <v>119.0</v>
      </c>
      <c r="J60" s="9">
        <f t="shared" si="3"/>
        <v>4</v>
      </c>
      <c r="K60" s="30">
        <v>2.0</v>
      </c>
      <c r="L60" s="9">
        <f t="shared" si="4"/>
        <v>8</v>
      </c>
      <c r="M60" s="30">
        <v>1.0</v>
      </c>
      <c r="N60" s="30">
        <v>4.0</v>
      </c>
      <c r="O60" s="9">
        <f t="shared" si="5"/>
        <v>5</v>
      </c>
      <c r="P60" s="30">
        <v>2.0</v>
      </c>
      <c r="Q60" s="30">
        <v>8.0</v>
      </c>
      <c r="R60" s="9">
        <f t="shared" si="6"/>
        <v>10</v>
      </c>
      <c r="S60" s="9" t="str">
        <f t="shared" si="7"/>
        <v>Eligible</v>
      </c>
    </row>
    <row r="61">
      <c r="A61" s="1"/>
      <c r="B61" s="1"/>
      <c r="C61" s="38" t="s">
        <v>91</v>
      </c>
      <c r="D61" s="39"/>
      <c r="E61" s="39"/>
      <c r="F61" s="39"/>
      <c r="G61" s="40"/>
      <c r="H61" s="40"/>
      <c r="I61" s="39"/>
      <c r="J61" s="1"/>
      <c r="K61" s="39"/>
      <c r="L61" s="1"/>
      <c r="M61" s="39"/>
      <c r="N61" s="39"/>
      <c r="O61" s="1"/>
      <c r="P61" s="39"/>
      <c r="Q61" s="39"/>
      <c r="R61" s="1"/>
      <c r="S61" s="1"/>
    </row>
    <row r="62">
      <c r="A62" s="1">
        <v>54.0</v>
      </c>
      <c r="B62" s="1">
        <v>205.0</v>
      </c>
      <c r="C62" s="41" t="s">
        <v>92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1" t="s">
        <v>93</v>
      </c>
    </row>
    <row r="63">
      <c r="A63" s="1"/>
      <c r="B63" s="1"/>
      <c r="C63" s="41" t="s">
        <v>94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1"/>
    </row>
    <row r="64">
      <c r="A64" s="1">
        <v>55.0</v>
      </c>
      <c r="B64" s="1">
        <v>162.0</v>
      </c>
      <c r="C64" s="41" t="s">
        <v>95</v>
      </c>
      <c r="D64" s="40"/>
      <c r="E64" s="40"/>
      <c r="F64" s="40"/>
      <c r="G64" s="40"/>
      <c r="H64" s="40"/>
      <c r="I64" s="40"/>
      <c r="J64" s="40"/>
      <c r="K64" s="42" t="s">
        <v>96</v>
      </c>
      <c r="L64" s="41">
        <f>COUNT(B8:B87)</f>
        <v>56</v>
      </c>
      <c r="M64" s="40"/>
      <c r="N64" s="40"/>
      <c r="O64" s="40"/>
      <c r="P64" s="40"/>
      <c r="Q64" s="40"/>
      <c r="R64" s="40"/>
      <c r="S64" s="1" t="s">
        <v>93</v>
      </c>
    </row>
    <row r="65">
      <c r="A65" s="1">
        <v>56.0</v>
      </c>
      <c r="B65" s="1">
        <v>191.0</v>
      </c>
      <c r="C65" s="41" t="s">
        <v>97</v>
      </c>
      <c r="D65" s="40"/>
      <c r="E65" s="40"/>
      <c r="F65" s="40"/>
      <c r="G65" s="40"/>
      <c r="H65" s="40"/>
      <c r="I65" s="40"/>
      <c r="J65" s="40"/>
      <c r="K65" s="42" t="s">
        <v>98</v>
      </c>
      <c r="L65" s="43">
        <f>countif(S8:S60,"Eligible")</f>
        <v>53</v>
      </c>
      <c r="M65" s="40"/>
      <c r="N65" s="40"/>
      <c r="O65" s="40"/>
      <c r="P65" s="40"/>
      <c r="Q65" s="40"/>
      <c r="R65" s="40"/>
      <c r="S65" s="1" t="s">
        <v>93</v>
      </c>
    </row>
    <row r="66">
      <c r="A66" s="1"/>
      <c r="B66" s="1"/>
      <c r="C66" s="44" t="s">
        <v>99</v>
      </c>
      <c r="D66" s="45">
        <v>53.0</v>
      </c>
      <c r="E66" s="40"/>
      <c r="F66" s="1"/>
      <c r="G66" s="1"/>
      <c r="H66" s="1"/>
      <c r="I66" s="1"/>
      <c r="J66" s="1"/>
      <c r="K66" s="42" t="s">
        <v>100</v>
      </c>
      <c r="L66" s="41">
        <f>countif(S8:S60,"Not Eligible")</f>
        <v>0</v>
      </c>
      <c r="M66" s="1"/>
      <c r="N66" s="1"/>
      <c r="O66" s="1"/>
      <c r="P66" s="1"/>
      <c r="Q66" s="1"/>
      <c r="R66" s="1"/>
      <c r="S66" s="41">
        <v>56.0</v>
      </c>
    </row>
    <row r="67">
      <c r="A67" s="1"/>
      <c r="B67" s="1"/>
      <c r="C67" s="46"/>
      <c r="D67" s="46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</row>
    <row r="68">
      <c r="A68" s="1"/>
      <c r="B68" s="1"/>
      <c r="C68" s="46"/>
      <c r="D68" s="46"/>
      <c r="E68" s="1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  <c r="S72" s="1"/>
    </row>
    <row r="73">
      <c r="A73" s="1"/>
      <c r="B73" s="1"/>
      <c r="C73" s="42"/>
      <c r="D73" s="41"/>
      <c r="E73" s="1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1"/>
      <c r="S73" s="1"/>
    </row>
    <row r="74">
      <c r="A74" s="47"/>
      <c r="B74" s="47"/>
      <c r="C74" s="48"/>
      <c r="D74" s="48"/>
      <c r="E74" s="1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1"/>
    </row>
    <row r="75">
      <c r="A75" s="47"/>
      <c r="B75" s="47"/>
      <c r="C75" s="48"/>
      <c r="D75" s="48"/>
      <c r="E75" s="1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1"/>
      <c r="R75" s="1"/>
      <c r="S75" s="1"/>
    </row>
    <row r="76">
      <c r="A76" s="47"/>
      <c r="B76" s="47"/>
      <c r="C76" s="48"/>
      <c r="D76" s="48"/>
      <c r="E76" s="1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1"/>
      <c r="R76" s="1"/>
      <c r="S76" s="1" t="s">
        <v>101</v>
      </c>
    </row>
    <row r="77">
      <c r="A77" s="49"/>
      <c r="B77" s="49"/>
      <c r="C77" s="48"/>
      <c r="D77" s="48"/>
      <c r="E77" s="1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1" t="s">
        <v>102</v>
      </c>
    </row>
    <row r="78">
      <c r="A78" s="47"/>
      <c r="B78" s="47"/>
      <c r="C78" s="50"/>
      <c r="D78" s="48"/>
      <c r="E78" s="1"/>
      <c r="F78" s="40"/>
      <c r="G78" s="40"/>
      <c r="H78" s="40"/>
      <c r="I78" s="40"/>
      <c r="J78" s="40"/>
      <c r="K78" s="46"/>
      <c r="L78" s="46"/>
      <c r="M78" s="46"/>
      <c r="N78" s="40"/>
      <c r="O78" s="40"/>
      <c r="P78" s="40"/>
      <c r="Q78" s="40"/>
      <c r="R78" s="40"/>
      <c r="S78" s="1" t="s">
        <v>103</v>
      </c>
    </row>
    <row r="79">
      <c r="A79" s="47"/>
      <c r="B79" s="47"/>
      <c r="C79" s="50"/>
      <c r="D79" s="48"/>
      <c r="E79" s="1"/>
      <c r="F79" s="40"/>
      <c r="G79" s="40"/>
      <c r="H79" s="40"/>
      <c r="I79" s="40"/>
      <c r="J79" s="40"/>
      <c r="K79" s="46"/>
      <c r="L79" s="46"/>
      <c r="M79" s="46"/>
      <c r="N79" s="40"/>
      <c r="O79" s="40"/>
      <c r="P79" s="40"/>
      <c r="Q79" s="40"/>
      <c r="R79" s="40"/>
      <c r="S79" s="40"/>
    </row>
    <row r="80">
      <c r="A80" s="47"/>
      <c r="B80" s="47"/>
      <c r="C80" s="50"/>
      <c r="D80" s="48"/>
      <c r="E80" s="1"/>
      <c r="F80" s="40"/>
      <c r="G80" s="40"/>
      <c r="H80" s="40"/>
      <c r="I80" s="40"/>
      <c r="J80" s="40"/>
      <c r="K80" s="46"/>
      <c r="L80" s="46"/>
      <c r="M80" s="46"/>
      <c r="N80" s="40"/>
      <c r="O80" s="40"/>
      <c r="P80" s="40"/>
      <c r="Q80" s="40"/>
      <c r="R80" s="40"/>
      <c r="S80" s="40"/>
    </row>
    <row r="81" ht="17.25" customHeight="1">
      <c r="A81" s="47"/>
      <c r="B81" s="47"/>
      <c r="C81" s="50"/>
      <c r="D81" s="47"/>
      <c r="E81" s="1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</row>
    <row r="82" ht="18.75" customHeight="1">
      <c r="A82" s="47"/>
      <c r="B82" s="47"/>
      <c r="C82" s="50"/>
      <c r="D82" s="47"/>
      <c r="E82" s="1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</row>
    <row r="83">
      <c r="A83" s="47"/>
      <c r="B83" s="47"/>
      <c r="C83" s="50"/>
      <c r="D83" s="47"/>
      <c r="E83" s="1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</row>
    <row r="84">
      <c r="A84" s="47"/>
      <c r="B84" s="47"/>
      <c r="C84" s="47"/>
      <c r="D84" s="47"/>
      <c r="E84" s="1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</row>
    <row r="85">
      <c r="A85" s="1"/>
      <c r="B85" s="1"/>
      <c r="C85" s="42"/>
      <c r="D85" s="41"/>
      <c r="E85" s="1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</row>
    <row r="86">
      <c r="A86" s="1"/>
      <c r="B86" s="1"/>
      <c r="C86" s="42"/>
      <c r="D86" s="41"/>
      <c r="E86" s="1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</row>
    <row r="87">
      <c r="A87" s="1"/>
      <c r="B87" s="1"/>
      <c r="C87" s="42"/>
      <c r="D87" s="41"/>
      <c r="E87" s="1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</row>
  </sheetData>
  <mergeCells count="20">
    <mergeCell ref="G5:H5"/>
    <mergeCell ref="I5:J5"/>
    <mergeCell ref="M5:N5"/>
    <mergeCell ref="P5:Q5"/>
    <mergeCell ref="C5:C7"/>
    <mergeCell ref="J6:J7"/>
    <mergeCell ref="M6:M7"/>
    <mergeCell ref="N6:N7"/>
    <mergeCell ref="O6:O7"/>
    <mergeCell ref="P6:P7"/>
    <mergeCell ref="Q6:Q7"/>
    <mergeCell ref="R6:R7"/>
    <mergeCell ref="Q74:S74"/>
    <mergeCell ref="C1:S1"/>
    <mergeCell ref="C2:S2"/>
    <mergeCell ref="C3:S3"/>
    <mergeCell ref="D4:P4"/>
    <mergeCell ref="A5:A7"/>
    <mergeCell ref="B5:B7"/>
    <mergeCell ref="S5:S7"/>
  </mergeCells>
  <dataValidations>
    <dataValidation type="list" allowBlank="1" sqref="K8:K61">
      <formula1>"0,1,2"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5">
    <tablePart r:id="rId7"/>
    <tablePart r:id="rId8"/>
    <tablePart r:id="rId9"/>
    <tablePart r:id="rId10"/>
    <tablePart r:id="rId11"/>
  </tableParts>
</worksheet>
</file>